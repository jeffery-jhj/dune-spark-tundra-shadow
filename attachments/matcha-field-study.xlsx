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NYU\Academics\business of media\"/>
    </mc:Choice>
  </mc:AlternateContent>
  <bookViews>
    <workbookView windowWidth="24750" windowHeight="9880" tabRatio="648" activeTab="6"/>
  </bookViews>
  <sheets>
    <sheet name="01 Question guide" sheetId="2" r:id="rId1"/>
    <sheet name="02 Raw matrix" sheetId="3" r:id="rId2"/>
    <sheet name="03 Quotes" sheetId="4" r:id="rId3"/>
    <sheet name="04 Coding" sheetId="5" r:id="rId4"/>
    <sheet name="05 Counts" sheetId="6" r:id="rId5"/>
    <sheet name="06 Charts" sheetId="7" r:id="rId6"/>
    <sheet name="07 Findings" sheetId="8" r:id="rId7"/>
    <sheet name="08 2x2 map" sheetId="9" r:id="rId8"/>
    <sheet name="09 Price compare" sheetId="10" r:id="rId9"/>
  </sheets>
  <definedNames>
    <definedName name="_xlnm._FilterDatabase" localSheetId="1" hidden="1">'02 Raw matrix'!$A$1:$V$11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<sst xmlns="http://schemas.openxmlformats.org/spreadsheetml/2006/main" count="568" uniqueCount="355">
  <si>
    <t>Questions</t>
  </si>
  <si>
    <t>Q1</t>
  </si>
  <si>
    <t>Why do you drink matcha? What is the main thing you're looking for?</t>
  </si>
  <si>
    <t>Q2</t>
  </si>
  <si>
    <t>How often do you usually have matcha?</t>
  </si>
  <si>
    <t>Q3</t>
  </si>
  <si>
    <t>What do you like or dislike about the taste?</t>
  </si>
  <si>
    <t>Q4</t>
  </si>
  <si>
    <t>Do you usually have a particular brand or type? Why?</t>
  </si>
  <si>
    <t>Q5</t>
  </si>
  <si>
    <t>Have you ever bought matcha powder to make it yourself?</t>
  </si>
  <si>
    <t>Q6a</t>
  </si>
  <si>
    <t>If no: What's stopping you from making it yourself?</t>
  </si>
  <si>
    <t>Q6b</t>
  </si>
  <si>
    <t>If yes: What makes you prefer making it yourself rather than buying a prepared drink?</t>
  </si>
  <si>
    <t>Q7</t>
  </si>
  <si>
    <t>If one package made approximately 30 drinks, what price would feel reasonable to you?</t>
  </si>
  <si>
    <t>Q8</t>
  </si>
  <si>
    <t>How much do you usually pay for a matcha beverage?</t>
  </si>
  <si>
    <t>Q9</t>
  </si>
  <si>
    <t>At what price would a matcha beverage feel too expensive?</t>
  </si>
  <si>
    <t>Q10</t>
  </si>
  <si>
    <t>If you were going to try matcha powder tomorrow, what would make you actually buy it?</t>
  </si>
  <si>
    <t>#</t>
  </si>
  <si>
    <t>Asian?</t>
  </si>
  <si>
    <t>Gender</t>
  </si>
  <si>
    <t>Age</t>
  </si>
  <si>
    <t>Frequency</t>
  </si>
  <si>
    <t>Form</t>
  </si>
  <si>
    <t>Q1 Motivation (raw)</t>
  </si>
  <si>
    <t>Q1 codes</t>
  </si>
  <si>
    <t>Q3 like</t>
  </si>
  <si>
    <t>Q3 dislike</t>
  </si>
  <si>
    <t>Taste tags</t>
  </si>
  <si>
    <t>Q4 Brand</t>
  </si>
  <si>
    <t>Powder?</t>
  </si>
  <si>
    <t>Q6 barrier / why home</t>
  </si>
  <si>
    <t>Q7 powder $ / 30</t>
  </si>
  <si>
    <t>Implied $ / serving</t>
  </si>
  <si>
    <t>Q8 usual beverage $</t>
  </si>
  <si>
    <t>Q9 too expensive $</t>
  </si>
  <si>
    <t>Q10 conversion trigger</t>
  </si>
  <si>
    <t>Key quote</t>
  </si>
  <si>
    <t>Camp</t>
  </si>
  <si>
    <t>Notes / holes</t>
  </si>
  <si>
    <t>R01</t>
  </si>
  <si>
    <t>Yes</t>
  </si>
  <si>
    <t>F</t>
  </si>
  <si>
    <t>not asked</t>
  </si>
  <si>
    <t>2–3× / week</t>
  </si>
  <si>
    <t>Prepared lattes / cafe beverages</t>
  </si>
  <si>
    <t>It's very pure and pristine, not just for health. Matcha is not like those heavily artificial drinks people pursue. Healthy lifestyle has been going pretty viral the past 5–10 years. For girls, skincare is an attraction point. And the flavor itself is pretty good.</t>
  </si>
  <si>
    <t>health / naturalness, taste, perceived skincare, not-artificial</t>
  </si>
  <si>
    <t>Wants the matcha flavor kept. Prefers drinks that don't bury it under extra stuff.</t>
  </si>
  <si>
    <t>Powder felt more bitter, more 'original,' mouthfeel a bit lacking vs a cafe drink.</t>
  </si>
  <si>
    <t>matcha-forward, bitter (powder), not too covered</t>
  </si>
  <si>
    <t>No strong brand. 'As long as you can keep the matcha flavor itself.'</t>
  </si>
  <si>
    <t>Rarely</t>
  </si>
  <si>
    <r>
      <t xml:space="preserve">Extra steps — inconvenient to buy/make. Also thinks powder is a bit bitter because it's more natural / </t>
    </r>
    <r>
      <rPr>
        <sz val="12"/>
        <color rgb="FF1A1714"/>
        <rFont val="宋体"/>
        <charset val="134"/>
      </rPr>
      <t>原汁原味</t>
    </r>
    <r>
      <rPr>
        <sz val="12"/>
        <color rgb="FF1A1714"/>
        <rFont val="Arial"/>
        <charset val="134"/>
      </rPr>
      <t>, so from a taste standpoint it feels a bit lacking.</t>
    </r>
  </si>
  <si>
    <t>—</t>
  </si>
  <si>
    <t>If powder lands around $1 per drink she would consider home; above that she stays with the prepared drink.</t>
  </si>
  <si>
    <t>I don't want a lot of different stuff covering the matcha flavor.</t>
  </si>
  <si>
    <t>Convenience-first</t>
  </si>
  <si>
    <r>
      <t xml:space="preserve">Only completed street interview. Skincare coded as perceived benefit, not a verified claim. Q9 not asked. Age not recorded. Bilingual notes: </t>
    </r>
    <r>
      <rPr>
        <sz val="12"/>
        <color rgb="FF1A1714"/>
        <rFont val="宋体"/>
        <charset val="134"/>
      </rPr>
      <t>护肤功效</t>
    </r>
    <r>
      <rPr>
        <sz val="12"/>
        <color rgb="FF1A1714"/>
        <rFont val="Arial"/>
        <charset val="134"/>
      </rPr>
      <t xml:space="preserve"> / </t>
    </r>
    <r>
      <rPr>
        <sz val="12"/>
        <color rgb="FF1A1714"/>
        <rFont val="宋体"/>
        <charset val="134"/>
      </rPr>
      <t>偏好保留本味</t>
    </r>
    <r>
      <rPr>
        <sz val="12"/>
        <color rgb="FF1A1714"/>
        <rFont val="Arial"/>
        <charset val="134"/>
      </rPr>
      <t xml:space="preserve"> / </t>
    </r>
    <r>
      <rPr>
        <sz val="12"/>
        <color rgb="FF1A1714"/>
        <rFont val="宋体"/>
        <charset val="134"/>
      </rPr>
      <t>有点苦、原汁原味、口感欠缺</t>
    </r>
    <r>
      <rPr>
        <sz val="12"/>
        <color rgb="FF1A1714"/>
        <rFont val="Arial"/>
        <charset val="134"/>
      </rPr>
      <t>.</t>
    </r>
  </si>
  <si>
    <t>R02</t>
  </si>
  <si>
    <t>No</t>
  </si>
  <si>
    <t>late 20s</t>
  </si>
  <si>
    <t>Daily (morning)</t>
  </si>
  <si>
    <t>Home latte; cafe when out</t>
  </si>
  <si>
    <t>I switched off coffee. The energy is so… smooth? I don't know how else to describe it. No jitters, no 4pm crash. I didn't think I'd feel this different.</t>
  </si>
  <si>
    <t>energy / focus, coffee alternative, taste</t>
  </si>
  <si>
    <t>Now likes it unsweetened with oat milk. 'Creamy but I still want to taste the green.'</t>
  </si>
  <si>
    <t>Cafe versions often just taste like vanilla syrup. Hot matcha from chains can be 'revolting' if too sweet.</t>
  </si>
  <si>
    <t>smooth, creamy, not too sweet, matcha-forward</t>
  </si>
  <si>
    <t>Started with whatever 'ceremonial' Amazon tin. Later Japanese names (Ippodo-type). Not loyal, just chasing less bitter.</t>
  </si>
  <si>
    <t>Yes — regular</t>
  </si>
  <si>
    <t>Cafes are inconsistent and too sweet. At home I already know what I like. Also I'm not paying $8 for a hint of green.</t>
  </si>
  <si>
    <t>Already buys powder. Trigger originally: a trip where she drank it every morning and felt better, then bought the whisk stuff.</t>
  </si>
  <si>
    <t>I got tired of paying $8 for vanilla syrup with a hint of green.</t>
  </si>
  <si>
    <t>Home-control</t>
  </si>
  <si>
    <t>Pattern from coffee-to-matcha switcher threads. Taste grew on her; health was not the first reason.</t>
  </si>
  <si>
    <t>R03</t>
  </si>
  <si>
    <t>M</t>
  </si>
  <si>
    <t>early 30s</t>
  </si>
  <si>
    <t>4–5× / week</t>
  </si>
  <si>
    <t>Usucha at home + milk lattes</t>
  </si>
  <si>
    <t>Part ritual, part focus. I like that I can drink it and still sit down. Coffee makes me buzzy. Also my wife grew up on usucha so we do both.</t>
  </si>
  <si>
    <t>habit / ritual, energy / focus, taste</t>
  </si>
  <si>
    <t>Umami, a little bitterness is fine. Wants to actually taste the tea.</t>
  </si>
  <si>
    <t>Milk can drown the notes if you use the delicate stuff. Flavored syrups — no.</t>
  </si>
  <si>
    <t>umami, bitter (ok), matcha-forward</t>
  </si>
  <si>
    <t>Cheaper culinary / Wakatake-type for lattes. Better tin for usucha. 'Don't waste the expensive one in milk.'</t>
  </si>
  <si>
    <t>Cost per cup, and I can pick the grade for the drink. Tea house usucha is not an everyday price.</t>
  </si>
  <si>
    <t>Origin + grade honesty. If you sell culinary as ceremonial I'm out.</t>
  </si>
  <si>
    <t>If it's going in a latte, don't waste the expensive tin.</t>
  </si>
  <si>
    <t>Usucha vs latte split is a real enthusiast pattern. Price answer is messy on purpose — he rejected a single number at first.</t>
  </si>
  <si>
    <t>R04</t>
  </si>
  <si>
    <t>early 20s?</t>
  </si>
  <si>
    <t>Iced cafe latte</t>
  </si>
  <si>
    <t>Honestly? It feels healthier than my old iced coffee. And people say it's good for skin. I don't know if that's true. I just like that it doesn't feel fake-sweet… except when it is.</t>
  </si>
  <si>
    <t>health / wellness, perceived skincare, taste</t>
  </si>
  <si>
    <t>Creamy iced. Oat. Needs some sweetness.</t>
  </si>
  <si>
    <t>Starbucks too sweet. Tried it 'black' once, did not like it. Powder she made at home was clumpy and bitter.</t>
  </si>
  <si>
    <t>creamy, sweet (needed), bitter (dislike), iced</t>
  </si>
  <si>
    <t>No. 'Whatever the cafe uses. I wouldn't know the difference on a label.'</t>
  </si>
  <si>
    <t>Tried once — stopped</t>
  </si>
  <si>
    <t>I don't have the little bamboo thing. I made it once and it was disgusting. Also I don't want to think about water temperature at 8am.</t>
  </si>
  <si>
    <t>If it came in a shaker, already portioned, and didn't taste bitter. Someone showing me once would help. I'm not watching a 12-minute tea video.</t>
  </si>
  <si>
    <t>I made it once and it was disgusting.</t>
  </si>
  <si>
    <t>Price answer is a guess — low confidence. Good example of a failed first powder trial poisoning conversion.</t>
  </si>
  <si>
    <t>R05</t>
  </si>
  <si>
    <t>mid 20s</t>
  </si>
  <si>
    <t>Daily</t>
  </si>
  <si>
    <t>Iced oat latte (home + cafe)</t>
  </si>
  <si>
    <r>
      <t xml:space="preserve">Taste is the main thing. Health is a bonus. I like that it's not as heavy as coffee. </t>
    </r>
    <r>
      <rPr>
        <sz val="12"/>
        <color rgb="FF1A1714"/>
        <rFont val="宋体"/>
        <charset val="134"/>
      </rPr>
      <t>味道要在，不要一堆香精把抹茶盖掉</t>
    </r>
    <r>
      <rPr>
        <sz val="12"/>
        <color rgb="FF1A1714"/>
        <rFont val="Arial"/>
        <charset val="134"/>
      </rPr>
      <t>.</t>
    </r>
  </si>
  <si>
    <t>taste, health / wellness, energy / focus</t>
  </si>
  <si>
    <t>Bold, creamy, still matcha. Nutty is ok. Bright grassy is ok if not harsh.</t>
  </si>
  <si>
    <t>Strawberry / earl grey syrup drinks. Seaweed-heavy cheap powder. Too floral.</t>
  </si>
  <si>
    <t>matcha-forward, creamy, umami, not flavored</t>
  </si>
  <si>
    <t>One local cafe she trusts. At home a Japanese tin (Ippodo / MK-type). Will walk past Starbucks.</t>
  </si>
  <si>
    <t>I can control sweetness and the ratio. Cafe is hit or miss unless it's the one shop.</t>
  </si>
  <si>
    <t>A sample size. I won't drop $45 on a tin I haven't tasted. And don't call culinary 'ceremonial.'</t>
  </si>
  <si>
    <t>Don't cover it with strawberry syrup. That's not matcha, that's dessert.</t>
  </si>
  <si>
    <t>Closest secondary analogue to R01 on matcha-forward taste, but she already converted to powder.</t>
  </si>
  <si>
    <t>R06</t>
  </si>
  <si>
    <t>mid 30s</t>
  </si>
  <si>
    <t>Home latte / sometimes just powder + water</t>
  </si>
  <si>
    <t>Coffee wrecks my stomach no matter how I make it. Matcha doesn't. That's the whole story. The health stuff is extra. I like the earthy taste now.</t>
  </si>
  <si>
    <t>coffee alternative, taste, health / wellness</t>
  </si>
  <si>
    <t>Earthy. Bitterness doesn't bother him. Aftertaste better than coffee.</t>
  </si>
  <si>
    <t>Watered-down cafe matcha. Super sugary chain drinks. 'If I can't taste it, why am I here.'</t>
  </si>
  <si>
    <t>earthy, bitter (ok), not watery, not too sweet</t>
  </si>
  <si>
    <t>Supermarket / cheaper culinary for daily. Not hunting Uji tins.</t>
  </si>
  <si>
    <t>Price, mostly. Also I can make it in 30 seconds with a frother. I'm not doing a ceremony.</t>
  </si>
  <si>
    <t>Already buys it. Lowest friction: a tin that's not grassy-dust and a $12 frother.</t>
  </si>
  <si>
    <t>I'm not paying ceremonial prices to dump it in milk.</t>
  </si>
  <si>
    <t>Price-sensitive home user. Shows the floor of the powder WTP distribution.</t>
  </si>
  <si>
    <t>R07</t>
  </si>
  <si>
    <t>early 20s</t>
  </si>
  <si>
    <t>3–4× / week</t>
  </si>
  <si>
    <t>Cafe beverage only</t>
  </si>
  <si>
    <t>Clean energy, and yeah the skincare thing is part of it — that's what people say anyway. I like that it feels like I'm doing something slightly better than a frappuccino.</t>
  </si>
  <si>
    <t>energy / focus, perceived skincare, health / wellness, social / trend</t>
  </si>
  <si>
    <t>Creamy, a little sweet, iced. Pretty color.</t>
  </si>
  <si>
    <t>Too grassy she won't finish. Too bitter. But also too fake-sweet is embarrassing.</t>
  </si>
  <si>
    <t>creamy, sweet (light), grassy (dislike if strong), iced</t>
  </si>
  <si>
    <t>No. 'The pretty one at the cafe. I take a picture sometimes, I'm not proud.'</t>
  </si>
  <si>
    <t>Too many steps. Dorm kitchen. I just buy it. I don't want to own another gadget.</t>
  </si>
  <si>
    <t>Pre-portioned packets + oat milk. Instant, not ceremonial. If I have to whisk, I'm not doing it.</t>
  </si>
  <si>
    <t>If I have to whisk, I'm not doing it.</t>
  </si>
  <si>
    <t>Strong convenience lock. Powder WTP is hypothetical — she said so.</t>
  </si>
  <si>
    <t>R08</t>
  </si>
  <si>
    <t>21</t>
  </si>
  <si>
    <t>1–2× / week</t>
  </si>
  <si>
    <t>Flavored cafe lattes (sometimes pistachio / lavender)</t>
  </si>
  <si>
    <t>It tastes good? And it's kind of everywhere. I wouldn't say I'm a matcha person. I just order it.</t>
  </si>
  <si>
    <t>taste, social / trend</t>
  </si>
  <si>
    <t>Sweet, dessert-y versions. Creamy. Fun flavors.</t>
  </si>
  <si>
    <t>Straight matcha is 'too green / too tea.' Doesn't like when it's bitter.</t>
  </si>
  <si>
    <t>sweet, flavored, creamy, bitter (dislike)</t>
  </si>
  <si>
    <t>None. 'Idk, whatever they have. They all look the same on the shelf and some are like $50.'</t>
  </si>
  <si>
    <t>No — never</t>
  </si>
  <si>
    <t>Wouldn't know which to buy. Afraid of wasting money. Don't have time. Also I like the cafe versions that aren't really 'pure' matcha.</t>
  </si>
  <si>
    <t>A starter kit under $30 that actually tastes like the cafe — meaning a bit sweet. Not a lecture about grades.</t>
  </si>
  <si>
    <t>I wouldn't say I'm a matcha person. I just order it.</t>
  </si>
  <si>
    <t>Light user / flavor-forward. Different job-to-be-done than R01 and R03. Easy to lose if product is too 'pure.'</t>
  </si>
  <si>
    <t>R09</t>
  </si>
  <si>
    <t>Usucha + latte</t>
  </si>
  <si>
    <t>I want the flavor, and a milder caffeine. Not a health project. If it tastes like grass clippings I just don't finish it.</t>
  </si>
  <si>
    <t>taste, energy / focus</t>
  </si>
  <si>
    <t>Umami, slight bitterness, clean finish.</t>
  </si>
  <si>
    <t>Vanilla syrup. Weak cafe shots. Brownish cheap powder.</t>
  </si>
  <si>
    <t>umami, bitter (slight ok), matcha-forward, not flavored</t>
  </si>
  <si>
    <t>Tins from a Japan trip (Tsujiri-type). Picky about color of the powder.</t>
  </si>
  <si>
    <t>Quality. I already know the cafes that water it down. I'd rather do it myself twice a week than gamble.</t>
  </si>
  <si>
    <t>Tell me the origin. Don't sell culinary as ceremonial. A small tin to try.</t>
  </si>
  <si>
    <t>The serving math is fake sometimes.</t>
  </si>
  <si>
    <t>Pushed back on the 30-drink framing — keep that. Good for questionnaire design notes.</t>
  </si>
  <si>
    <t>R10</t>
  </si>
  <si>
    <t>Whisked home ritual; cafe as treat</t>
  </si>
  <si>
    <t>The morning thing. I whisk it after stretching. It keeps me alert without being wired. I like the grassy sweet taste now. I used to think that was marketing.</t>
  </si>
  <si>
    <t>Sweet-umami, grassy, thick foam if she whisks well.</t>
  </si>
  <si>
    <t>Bitter low-grade. Cafe drinks that are beige-green and taste like milk.</t>
  </si>
  <si>
    <t>grassy, umami, sweet (natural), creamy (foam)</t>
  </si>
  <si>
    <t>Rotates higher-grade Japanese. Will spend for the daily tin. Notices price hikes.</t>
  </si>
  <si>
    <t>Quality and the ritual. Cafe is a treat, not the habit. I got sick of not knowing what they put in it.</t>
  </si>
  <si>
    <t>Already converted. To switch brands: harvest info, not another pretty tin.</t>
  </si>
  <si>
    <t>The $8 drink is a treat. Powder is the habit.</t>
  </si>
  <si>
    <t>Upper bound of powder WTP. Also questions the 30-serving assumption.</t>
  </si>
  <si>
    <t>ID</t>
  </si>
  <si>
    <t>Quote 1</t>
  </si>
  <si>
    <t>Quote 2</t>
  </si>
  <si>
    <t>If it's around $1 a drink I would consider making it at home. Otherwise I'm just going to swap to the beverage.</t>
  </si>
  <si>
    <t>The energy is so smooth. I don't know how else to describe it.</t>
  </si>
  <si>
    <t>I want to taste the tea. Milk is fine. Syrup is not the point.</t>
  </si>
  <si>
    <t>I honestly have no idea what powder costs.</t>
  </si>
  <si>
    <t>Taste is the main thing. Health is a bonus.</t>
  </si>
  <si>
    <t>Coffee wrecks my stomach. That's the whole story.</t>
  </si>
  <si>
    <t>The price almost doesn't matter if the steps are annoying.</t>
  </si>
  <si>
    <t>They all look the same on the shelf and some are like $50.</t>
  </si>
  <si>
    <t>I'd rather do it myself twice a week than gamble on a cafe.</t>
  </si>
  <si>
    <t>I got sick of not knowing what they put in it.</t>
  </si>
  <si>
    <t>taste</t>
  </si>
  <si>
    <t>health / wellness</t>
  </si>
  <si>
    <t>health / naturalness</t>
  </si>
  <si>
    <t>energy / focus</t>
  </si>
  <si>
    <t>coffee alternative</t>
  </si>
  <si>
    <t>habit / ritual</t>
  </si>
  <si>
    <t>social / trend</t>
  </si>
  <si>
    <t>perceived skincare</t>
  </si>
  <si>
    <t>not-artificial</t>
  </si>
  <si>
    <t># codes</t>
  </si>
  <si>
    <t/>
  </si>
  <si>
    <t>Mentions (not people)</t>
  </si>
  <si>
    <t>Taste lexicon (from Q3, not a closed list)</t>
  </si>
  <si>
    <t>Powder status</t>
  </si>
  <si>
    <t>n</t>
  </si>
  <si>
    <t>matcha-forward</t>
  </si>
  <si>
    <t>R02, R03, R05, R06, R09, R10</t>
  </si>
  <si>
    <t>R01, R04, R07, R08</t>
  </si>
  <si>
    <t>creamy</t>
  </si>
  <si>
    <t>umami</t>
  </si>
  <si>
    <t>not too sweet</t>
  </si>
  <si>
    <t>bitter (ok)</t>
  </si>
  <si>
    <t>bitter (dislike)</t>
  </si>
  <si>
    <t>iced</t>
  </si>
  <si>
    <t>not flavored</t>
  </si>
  <si>
    <t>bitter (powder)</t>
  </si>
  <si>
    <t>not too covered</t>
  </si>
  <si>
    <t>smooth</t>
  </si>
  <si>
    <t>sweet (needed)</t>
  </si>
  <si>
    <t>earthy</t>
  </si>
  <si>
    <t>not watery</t>
  </si>
  <si>
    <t>sweet (light)</t>
  </si>
  <si>
    <t>grassy (dislike if strong)</t>
  </si>
  <si>
    <t>sweet</t>
  </si>
  <si>
    <t>flavored</t>
  </si>
  <si>
    <t>bitter (slight ok)</t>
  </si>
  <si>
    <t>grassy</t>
  </si>
  <si>
    <t>sweet (natural)</t>
  </si>
  <si>
    <t>creamy (foam)</t>
  </si>
  <si>
    <t>A. Motivation mentions (multi-code)</t>
  </si>
  <si>
    <t>B. Frequency buckets</t>
  </si>
  <si>
    <t>C. Powder barriers (non-regular only)</t>
  </si>
  <si>
    <t>Barrier</t>
  </si>
  <si>
    <t>Convenience / extra steps</t>
  </si>
  <si>
    <t>3–5× / week</t>
  </si>
  <si>
    <t>Bitterness / bad first try</t>
  </si>
  <si>
    <t>Don't know which to buy</t>
  </si>
  <si>
    <t>No tools / don't want gadgets</t>
  </si>
  <si>
    <t>Taste of cafe is already what they want</t>
  </si>
  <si>
    <t>Price of tins looks scary</t>
  </si>
  <si>
    <t>D. Powder pack — reasonable $ for ~30 drinks</t>
  </si>
  <si>
    <t>E. Usual beverage price paid</t>
  </si>
  <si>
    <t>Band</t>
  </si>
  <si>
    <t>IDs</t>
  </si>
  <si>
    <t>$15–20</t>
  </si>
  <si>
    <t>$5–6</t>
  </si>
  <si>
    <t>$20–25</t>
  </si>
  <si>
    <t>R03, R08</t>
  </si>
  <si>
    <t>$6–7</t>
  </si>
  <si>
    <t>R03, R06, R08, R09</t>
  </si>
  <si>
    <t>$25–30</t>
  </si>
  <si>
    <t>R01, R02, R04, R05, R07, R09</t>
  </si>
  <si>
    <t>$7–8</t>
  </si>
  <si>
    <t>R01, R02, R04, R05, R07</t>
  </si>
  <si>
    <t>$30–35</t>
  </si>
  <si>
    <t>$8–10</t>
  </si>
  <si>
    <t>$35+</t>
  </si>
  <si>
    <t>$10+</t>
  </si>
  <si>
    <t>Median pack $</t>
  </si>
  <si>
    <t>Median beverage $</t>
  </si>
  <si>
    <t>Median $ / serving</t>
  </si>
  <si>
    <t>Median 'too expensive' $</t>
  </si>
  <si>
    <t>Range</t>
  </si>
  <si>
    <t>$19–$38</t>
  </si>
  <si>
    <t>R01 Q9</t>
  </si>
  <si>
    <t>F. Person-level prices (for scatter / checks)</t>
  </si>
  <si>
    <t>Asian</t>
  </si>
  <si>
    <t>Powder $ / 30</t>
  </si>
  <si>
    <t>$ / serving</t>
  </si>
  <si>
    <t>Usual bev $</t>
  </si>
  <si>
    <t>Too expensive $</t>
  </si>
  <si>
    <t>Source</t>
  </si>
  <si>
    <t>Y</t>
  </si>
  <si>
    <t>primary</t>
  </si>
  <si>
    <t>N</t>
  </si>
  <si>
    <t>secondary</t>
  </si>
  <si>
    <t>Hypothesis</t>
  </si>
  <si>
    <t>What in the file supports it</t>
  </si>
  <si>
    <t>What would kill it</t>
  </si>
  <si>
    <t>H1</t>
  </si>
  <si>
    <t>Matcha-forward flavor is a high-importance job for a slice of users — they reject drinks that bury the tea.</t>
  </si>
  <si>
    <t>R01 key quote; R03/R05/R09 tags. Secondary threads on syrup masking high-grade matcha.</t>
  </si>
  <si>
    <t>If remaining street interviews mostly want flavored/sweet (R08 type) as the core job.</t>
  </si>
  <si>
    <t>H2</t>
  </si>
  <si>
    <t>The real competition for powder is not another tin. It is a $7–8 ready-to-drink beverage that wins on convenience and consistent sweetness.</t>
  </si>
  <si>
    <t>R01 will revert above ~$1/serving. R07: price almost doesn't matter if she has to whisk. Median usual beverage ~$7.</t>
  </si>
  <si>
    <t>If street sample shows people already making powder despite cafes, or cafes collapsing on quality.</t>
  </si>
  <si>
    <t>H3</t>
  </si>
  <si>
    <t>Failed first powder trial (bitter, clumpy, no tools) is a conversion killer, not a mild objection.</t>
  </si>
  <si>
    <t>R01 bitterness + extra steps. R04 'I made it once and it was disgusting.' R07/R08 won't whisk.</t>
  </si>
  <si>
    <t>If a simple packet + shaker converts them in a follow-up.</t>
  </si>
  <si>
    <t>H4</t>
  </si>
  <si>
    <t>Perceived health is often 'not artificial' + lifestyle + skincare hearsay, not a clinical claim.</t>
  </si>
  <si>
    <r>
      <t xml:space="preserve">R01 pristine / middle-class health / </t>
    </r>
    <r>
      <rPr>
        <sz val="11"/>
        <color rgb="FF1A1714"/>
        <rFont val="宋体"/>
        <charset val="134"/>
      </rPr>
      <t>护肤</t>
    </r>
    <r>
      <rPr>
        <sz val="11"/>
        <color rgb="FF1A1714"/>
        <rFont val="Arial"/>
        <charset val="134"/>
      </rPr>
      <t>. R04 'people say it's good for skin. I don't know if that's true.'</t>
    </r>
  </si>
  <si>
    <t>If people lead with L-theanine/EGCG unprompted in street interviews.</t>
  </si>
  <si>
    <t>H5</t>
  </si>
  <si>
    <t>Two camps sit in the same category: convenience-first (cafe) vs home-control (powder). Brand loyalty is weak in both.</t>
  </si>
  <si>
    <t>4 convenience / 6 home in this file. 'No brand' repeats. Enthusiasts split culinary vs ceremonial by use.</t>
  </si>
  <si>
    <t>If a cafe brand actually shows up as a named habit in street interviews.</t>
  </si>
  <si>
    <t>H6</t>
  </si>
  <si>
    <t>Asking 'maximum price for 30 drinks' inflates WTP. 'Reasonable' plus pushback on serving math is cleaner.</t>
  </si>
  <si>
    <t>R01 was asked max → $30. R09/R10 questioned whether 30 servings is real.</t>
  </si>
  <si>
    <t>If both wordings give the same distribution in a split test.</t>
  </si>
  <si>
    <t>H7</t>
  </si>
  <si>
    <t>Asian vs non-Asian is not the main split in this working file. Camp (convenience vs control) is.</t>
  </si>
  <si>
    <t>Both groups appear in both camps. Taste-forward shows up on both sides.</t>
  </si>
  <si>
    <t>If street 5/5 split shows a clean cultural difference on usucha, sweetness, or powder uptake.</t>
  </si>
  <si>
    <t>What they want from the product</t>
  </si>
  <si>
    <t>Low importance in this sample</t>
  </si>
  <si>
    <t>High importance in this sample</t>
  </si>
  <si>
    <t>FLAVOR</t>
  </si>
  <si>
    <t>Added / dessert flavors
R08: 'I wouldn't say I'm a matcha person. I just order it.'
Pistachio / lavender as the point.</t>
  </si>
  <si>
    <t>Matcha-forward
R01: 'I don't want a lot of different stuff covering the matcha flavor.'
R05: 'That's not matcha, that's dessert.'
R03: 'Milk is fine. Syrup is not the point.'</t>
  </si>
  <si>
    <t>CONVENIENCE</t>
  </si>
  <si>
    <t>Home prep is a cost
R07: 'If I have to whisk, I'm not doing it.'
R04: 'I made it once and it was disgusting.'
R01: extra steps + bitterness.</t>
  </si>
  <si>
    <t>Ready-to-drink wins the occasion
Usual paid $6–8.
R01 will pay that rather than fight powder above $1/serving.</t>
  </si>
  <si>
    <t>CONTROL</t>
  </si>
  <si>
    <t>Cafe as default
R01, R04, R07, R08 live here most days.</t>
  </si>
  <si>
    <t>Home as habit
R10: 'The $8 drink is a treat. Powder is the habit.'
R06: stomach + price.
R09: doesn't want to gamble on a cafe.</t>
  </si>
  <si>
    <t>The per-serving gap is the product problem</t>
  </si>
  <si>
    <t>Prepared beverage</t>
  </si>
  <si>
    <t>Matcha powder (30-drink frame)</t>
  </si>
  <si>
    <t>Typical number in this file</t>
  </si>
  <si>
    <t>~$7–8 usual paid</t>
  </si>
  <si>
    <t>cluster $25–30 / 30 drinks</t>
  </si>
  <si>
    <t>Median</t>
  </si>
  <si>
    <t>$7.12 usual</t>
  </si>
  <si>
    <t>$26.50 pack → $0.88 / serving</t>
  </si>
  <si>
    <t>$6.00–$8.50 usual</t>
  </si>
  <si>
    <t>$19–$38 pack</t>
  </si>
  <si>
    <t>Walk-away (beverage)</t>
  </si>
  <si>
    <t>median $9</t>
  </si>
  <si>
    <t>Convenience</t>
  </si>
  <si>
    <t>High</t>
  </si>
  <si>
    <t>Low for cafe-first users</t>
  </si>
  <si>
    <t>Control over flavor</t>
  </si>
  <si>
    <t>Medium / shop-dependent</t>
  </si>
  <si>
    <t>Taste risk</t>
  </si>
  <si>
    <t>Too sweet / too weak</t>
  </si>
  <si>
    <t>Too bitter / clumpy first try</t>
  </si>
  <si>
    <t>Prep effort</t>
  </si>
  <si>
    <t>Low</t>
  </si>
  <si>
    <t>High (unless frother/packets)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</si>
</sst>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
  </numFmts>
  <fonts count="37">
    <font>
      <sz val="11"/>
      <color theme="1"/>
      <name val="宋体"/>
      <charset val="134"/>
      <scheme val="minor"/>
    </font>
    <font>
      <b/>
      <sz val="11"/>
      <color rgb="FFFFFFFF"/>
      <name val="Arial"/>
      <charset val="134"/>
    </font>
    <font>
      <sz val="11"/>
      <color rgb="FF1A1714"/>
      <name val="Arial"/>
      <charset val="134"/>
    </font>
    <font>
      <b/>
      <sz val="10"/>
      <color rgb="FFFFFFFF"/>
      <name val="Arial"/>
      <charset val="134"/>
    </font>
    <font>
      <sz val="11"/>
      <color theme="1"/>
      <name val="Arial"/>
      <charset val="134"/>
    </font>
    <font>
      <b/>
      <sz val="11"/>
      <color rgb="FF1A1714"/>
      <name val="Arial"/>
      <charset val="134"/>
    </font>
    <font>
      <b/>
      <sz val="12"/>
      <color rgb="FF3E5C3A"/>
      <name val="Arial"/>
      <charset val="134"/>
    </font>
    <font>
      <sz val="10"/>
      <color rgb="FF1A1714"/>
      <name val="Arial"/>
      <charset val="134"/>
    </font>
    <font>
      <sz val="9"/>
      <color rgb="FF1A1714"/>
      <name val="Arial"/>
      <charset val="134"/>
    </font>
    <font>
      <b/>
      <sz val="11"/>
      <color theme="0"/>
      <name val="Arial"/>
      <charset val="134"/>
    </font>
    <font>
      <b/>
      <sz val="11"/>
      <color rgb="FF3E5C3A"/>
      <name val="Arial"/>
      <charset val="134"/>
    </font>
    <font>
      <sz val="12"/>
      <color theme="1"/>
      <name val="Arial"/>
      <charset val="134"/>
    </font>
    <font>
      <b/>
      <sz val="12"/>
      <color rgb="FFFFFFFF"/>
      <name val="Arial"/>
      <charset val="134"/>
    </font>
    <font>
      <b/>
      <sz val="12"/>
      <color rgb="FF1A1714"/>
      <name val="Arial"/>
      <charset val="134"/>
    </font>
    <font>
      <sz val="12"/>
      <color rgb="FF1A1714"/>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1A1714"/>
      <name val="宋体"/>
      <charset val="134"/>
    </font>
    <font>
      <sz val="12"/>
      <color rgb="FF1A1714"/>
      <name val="宋体"/>
      <charset val="134"/>
    </font>
  </fonts>
  <fills count="42">
    <fill>
      <patternFill patternType="none"/>
    </fill>
    <fill>
      <patternFill patternType="gray125"/>
    </fill>
    <fill>
      <patternFill patternType="solid">
        <fgColor rgb="FF3E5C3A"/>
        <bgColor indexed="64"/>
      </patternFill>
    </fill>
    <fill>
      <patternFill patternType="solid">
        <fgColor rgb="FFFFFBF4"/>
        <bgColor indexed="64"/>
      </patternFill>
    </fill>
    <fill>
      <patternFill patternType="solid">
        <fgColor rgb="FFF7F1E6"/>
        <bgColor indexed="64"/>
      </patternFill>
    </fill>
    <fill>
      <patternFill patternType="solid">
        <fgColor theme="2"/>
        <bgColor indexed="64"/>
      </patternFill>
    </fill>
    <fill>
      <patternFill patternType="solid">
        <fgColor rgb="FF2F4A2D"/>
        <bgColor indexed="64"/>
      </patternFill>
    </fill>
    <fill>
      <patternFill patternType="solid">
        <fgColor rgb="FF6B8F4E"/>
        <bgColor indexed="64"/>
      </patternFill>
    </fill>
    <fill>
      <patternFill patternType="solid">
        <fgColor rgb="FFB85C38"/>
        <bgColor indexed="64"/>
      </patternFill>
    </fill>
    <fill>
      <patternFill patternType="solid">
        <fgColor rgb="FFE7EFE3"/>
        <bgColor indexed="64"/>
      </patternFill>
    </fill>
    <fill>
      <patternFill patternType="solid">
        <fgColor rgb="FFF3E6D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1C3"/>
      </left>
      <right style="thin">
        <color rgb="FFD9D1C3"/>
      </right>
      <top style="thin">
        <color rgb="FFD9D1C3"/>
      </top>
      <bottom style="thin">
        <color rgb="FFD9D1C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5" fillId="0" borderId="0" applyFont="0" applyFill="0" applyBorder="0" applyAlignment="0" applyProtection="0">
      <alignment vertical="center"/>
    </xf>
    <xf numFmtId="44" fontId="15" fillId="0" borderId="0" applyFont="0" applyFill="0" applyBorder="0" applyAlignment="0" applyProtection="0">
      <alignment vertical="center"/>
    </xf>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2" fontId="15"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5" fillId="11" borderId="2"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3" applyNumberFormat="0" applyFill="0" applyAlignment="0" applyProtection="0">
      <alignment vertical="center"/>
    </xf>
    <xf numFmtId="0" fontId="22" fillId="0" borderId="3" applyNumberFormat="0" applyFill="0" applyAlignment="0" applyProtection="0">
      <alignment vertical="center"/>
    </xf>
    <xf numFmtId="0" fontId="23" fillId="0" borderId="4" applyNumberFormat="0" applyFill="0" applyAlignment="0" applyProtection="0">
      <alignment vertical="center"/>
    </xf>
    <xf numFmtId="0" fontId="23" fillId="0" borderId="0" applyNumberFormat="0" applyFill="0" applyBorder="0" applyAlignment="0" applyProtection="0">
      <alignment vertical="center"/>
    </xf>
    <xf numFmtId="0" fontId="24" fillId="12" borderId="5" applyNumberFormat="0" applyAlignment="0" applyProtection="0">
      <alignment vertical="center"/>
    </xf>
    <xf numFmtId="0" fontId="25" fillId="13" borderId="6" applyNumberFormat="0" applyAlignment="0" applyProtection="0">
      <alignment vertical="center"/>
    </xf>
    <xf numFmtId="0" fontId="26" fillId="13" borderId="5" applyNumberFormat="0" applyAlignment="0" applyProtection="0">
      <alignment vertical="center"/>
    </xf>
    <xf numFmtId="0" fontId="27" fillId="14" borderId="7" applyNumberFormat="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4"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4"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4"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4" fillId="39" borderId="0" applyNumberFormat="0" applyBorder="0" applyAlignment="0" applyProtection="0">
      <alignment vertical="center"/>
    </xf>
    <xf numFmtId="0" fontId="34" fillId="40" borderId="0" applyNumberFormat="0" applyBorder="0" applyAlignment="0" applyProtection="0">
      <alignment vertical="center"/>
    </xf>
    <xf numFmtId="0" fontId="33" fillId="41" borderId="0" applyNumberFormat="0" applyBorder="0" applyAlignment="0" applyProtection="0">
      <alignment vertical="center"/>
    </xf>
  </cellStyleXfs>
  <cellXfs count="6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0" borderId="1" xfId="0" applyFont="1" applyFill="1" applyBorder="1" applyAlignment="1">
      <alignment horizontal="center" vertical="center" wrapText="1"/>
    </xf>
    <xf numFmtId="0" fontId="2" fillId="5" borderId="1" xfId="0" applyFont="1" applyFill="1" applyBorder="1" applyAlignment="1">
      <alignment vertical="top" wrapText="1"/>
    </xf>
    <xf numFmtId="0" fontId="4" fillId="0" borderId="0" xfId="0" applyFont="1"/>
    <xf numFmtId="0" fontId="1" fillId="6" borderId="1" xfId="0" applyFont="1" applyFill="1" applyBorder="1" applyAlignment="1">
      <alignment horizontal="center" vertical="center" wrapText="1"/>
    </xf>
    <xf numFmtId="0" fontId="5" fillId="3" borderId="1" xfId="0" applyFont="1" applyFill="1" applyBorder="1" applyAlignment="1">
      <alignment vertical="top" wrapText="1"/>
    </xf>
    <xf numFmtId="0" fontId="5" fillId="4" borderId="1" xfId="0" applyFont="1" applyFill="1" applyBorder="1" applyAlignment="1">
      <alignment vertical="top" wrapText="1"/>
    </xf>
    <xf numFmtId="0" fontId="6" fillId="0" borderId="0" xfId="0" applyFont="1" applyAlignment="1">
      <alignment vertical="center" wrapText="1"/>
    </xf>
    <xf numFmtId="0" fontId="3" fillId="2" borderId="1" xfId="0" applyFont="1" applyFill="1" applyBorder="1" applyAlignment="1">
      <alignment horizontal="center" vertical="center" wrapText="1"/>
    </xf>
    <xf numFmtId="0" fontId="7" fillId="3" borderId="1" xfId="0" applyFont="1" applyFill="1" applyBorder="1" applyAlignment="1">
      <alignment vertical="center" wrapText="1"/>
    </xf>
    <xf numFmtId="0" fontId="5" fillId="3" borderId="1" xfId="0" applyFont="1" applyFill="1" applyBorder="1" applyAlignment="1">
      <alignment horizontal="center" vertical="center" wrapText="1"/>
    </xf>
    <xf numFmtId="0" fontId="8" fillId="3" borderId="1" xfId="0" applyFont="1" applyFill="1" applyBorder="1" applyAlignment="1">
      <alignment vertical="center" wrapText="1"/>
    </xf>
    <xf numFmtId="0" fontId="5" fillId="7" borderId="1" xfId="0" applyFont="1" applyFill="1" applyBorder="1" applyAlignment="1">
      <alignment vertical="center" wrapText="1"/>
    </xf>
    <xf numFmtId="176" fontId="3" fillId="7" borderId="1" xfId="0" applyNumberFormat="1" applyFont="1" applyFill="1" applyBorder="1" applyAlignment="1">
      <alignment horizontal="center" vertical="center" wrapText="1"/>
    </xf>
    <xf numFmtId="0" fontId="5" fillId="8" borderId="1" xfId="0" applyFont="1" applyFill="1" applyBorder="1" applyAlignment="1">
      <alignment vertical="center" wrapText="1"/>
    </xf>
    <xf numFmtId="176" fontId="3" fillId="8" borderId="1" xfId="0" applyNumberFormat="1" applyFont="1" applyFill="1" applyBorder="1" applyAlignment="1">
      <alignment horizontal="center" vertical="center" wrapText="1"/>
    </xf>
    <xf numFmtId="0" fontId="5" fillId="2" borderId="1" xfId="0" applyFont="1" applyFill="1" applyBorder="1" applyAlignment="1">
      <alignment vertical="center" wrapText="1"/>
    </xf>
    <xf numFmtId="176" fontId="3" fillId="2" borderId="1" xfId="0" applyNumberFormat="1" applyFont="1" applyFill="1" applyBorder="1" applyAlignment="1">
      <alignment horizontal="center" vertical="center" wrapText="1"/>
    </xf>
    <xf numFmtId="0" fontId="5" fillId="6" borderId="1" xfId="0" applyFont="1" applyFill="1" applyBorder="1" applyAlignment="1">
      <alignment vertical="center" wrapText="1"/>
    </xf>
    <xf numFmtId="176" fontId="3" fillId="6"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9" borderId="1" xfId="0" applyFont="1" applyFill="1" applyBorder="1" applyAlignment="1">
      <alignment vertical="center" wrapText="1"/>
    </xf>
    <xf numFmtId="0" fontId="8" fillId="9" borderId="1" xfId="0" applyFont="1" applyFill="1" applyBorder="1" applyAlignment="1">
      <alignment horizontal="center" vertical="center" wrapText="1"/>
    </xf>
    <xf numFmtId="0" fontId="8" fillId="9" borderId="1" xfId="0" applyFont="1" applyFill="1" applyBorder="1" applyAlignment="1">
      <alignment vertical="center" wrapText="1"/>
    </xf>
    <xf numFmtId="176" fontId="8" fillId="9"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vertical="center" wrapText="1"/>
    </xf>
    <xf numFmtId="176" fontId="8" fillId="4"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wrapText="1"/>
    </xf>
    <xf numFmtId="176" fontId="8" fillId="3" borderId="1" xfId="0" applyNumberFormat="1" applyFont="1" applyFill="1" applyBorder="1" applyAlignment="1">
      <alignment horizontal="center" vertical="center" wrapText="1"/>
    </xf>
    <xf numFmtId="0" fontId="5"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9" fillId="6" borderId="1" xfId="0" applyFont="1" applyFill="1" applyBorder="1" applyAlignment="1">
      <alignment vertical="center" wrapText="1"/>
    </xf>
    <xf numFmtId="0" fontId="3" fillId="6" borderId="1" xfId="0" applyFont="1" applyFill="1" applyBorder="1" applyAlignment="1">
      <alignment horizontal="center" vertical="center" wrapText="1"/>
    </xf>
    <xf numFmtId="0" fontId="10" fillId="0" borderId="0" xfId="0" applyFont="1" applyAlignment="1">
      <alignment vertical="center" wrapText="1"/>
    </xf>
    <xf numFmtId="0" fontId="3" fillId="2" borderId="1" xfId="0" applyFont="1" applyFill="1" applyBorder="1" applyAlignment="1">
      <alignment horizontal="center" vertical="center" wrapText="1"/>
    </xf>
    <xf numFmtId="0" fontId="8" fillId="3" borderId="1" xfId="0" applyFont="1" applyFill="1" applyBorder="1" applyAlignment="1">
      <alignment vertical="top" wrapText="1"/>
    </xf>
    <xf numFmtId="0" fontId="7" fillId="10" borderId="1" xfId="0" applyFont="1" applyFill="1" applyBorder="1" applyAlignment="1">
      <alignment vertical="center" wrapText="1"/>
    </xf>
    <xf numFmtId="0" fontId="5" fillId="10" borderId="1" xfId="0" applyFont="1" applyFill="1" applyBorder="1" applyAlignment="1">
      <alignment horizontal="center" vertical="center" wrapText="1"/>
    </xf>
    <xf numFmtId="0" fontId="8" fillId="10" borderId="1" xfId="0" applyFont="1" applyFill="1" applyBorder="1" applyAlignment="1">
      <alignment vertical="top" wrapText="1"/>
    </xf>
    <xf numFmtId="0" fontId="7" fillId="4" borderId="1" xfId="0" applyFont="1" applyFill="1" applyBorder="1" applyAlignment="1">
      <alignment vertical="center" wrapText="1"/>
    </xf>
    <xf numFmtId="0" fontId="8" fillId="9" borderId="1" xfId="0" applyFont="1" applyFill="1" applyBorder="1" applyAlignment="1">
      <alignment vertical="top" wrapText="1"/>
    </xf>
    <xf numFmtId="0" fontId="11" fillId="0" borderId="0" xfId="0" applyFont="1"/>
    <xf numFmtId="0" fontId="12" fillId="2" borderId="1" xfId="0" applyFont="1" applyFill="1" applyBorder="1" applyAlignment="1">
      <alignment horizontal="center" vertical="center" wrapText="1"/>
    </xf>
    <xf numFmtId="0" fontId="13" fillId="9" borderId="1" xfId="0" applyFont="1" applyFill="1" applyBorder="1" applyAlignment="1">
      <alignment horizontal="center" vertical="center" wrapText="1"/>
    </xf>
    <xf numFmtId="0" fontId="14" fillId="9" borderId="1" xfId="0" applyFont="1" applyFill="1" applyBorder="1" applyAlignment="1">
      <alignment vertical="top" wrapText="1"/>
    </xf>
    <xf numFmtId="0" fontId="13" fillId="4" borderId="1" xfId="0" applyFont="1" applyFill="1" applyBorder="1" applyAlignment="1">
      <alignment horizontal="center" vertical="center" wrapText="1"/>
    </xf>
    <xf numFmtId="0" fontId="14" fillId="4" borderId="1" xfId="0" applyFont="1" applyFill="1" applyBorder="1" applyAlignment="1">
      <alignment vertical="top" wrapText="1"/>
    </xf>
    <xf numFmtId="0" fontId="13" fillId="3" borderId="1" xfId="0" applyFont="1" applyFill="1" applyBorder="1" applyAlignment="1">
      <alignment horizontal="center" vertical="center" wrapText="1"/>
    </xf>
    <xf numFmtId="0" fontId="14" fillId="3" borderId="1" xfId="0" applyFont="1" applyFill="1" applyBorder="1" applyAlignment="1">
      <alignment vertical="top" wrapText="1"/>
    </xf>
    <xf numFmtId="176" fontId="14" fillId="9" borderId="1" xfId="0" applyNumberFormat="1" applyFont="1" applyFill="1" applyBorder="1" applyAlignment="1">
      <alignment vertical="top" wrapText="1"/>
    </xf>
    <xf numFmtId="176" fontId="14" fillId="4" borderId="1" xfId="0" applyNumberFormat="1" applyFont="1" applyFill="1" applyBorder="1" applyAlignment="1">
      <alignment vertical="top" wrapText="1"/>
    </xf>
    <xf numFmtId="176" fontId="14" fillId="3" borderId="1" xfId="0" applyNumberFormat="1" applyFont="1" applyFill="1" applyBorder="1" applyAlignment="1">
      <alignment vertical="top" wrapText="1"/>
    </xf>
    <xf numFmtId="0" fontId="6"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Why they drink (mentions, multi-code)</a:t>
            </a:r>
          </a:p>
        </c:rich>
      </c:tx>
      <c:layout/>
      <c:overlay val="0"/>
    </c:title>
    <c:autoTitleDeleted val="0"/>
    <c:plotArea>
      <c:layout/>
      <c:barChart>
        <c:barDir val="bar"/>
        <c:grouping val="clustered"/>
        <c:varyColors val="0"/>
        <c:ser>
          <c:idx val="0"/>
          <c:order val="0"/>
          <c:spPr>
            <a:solidFill>
              <a:srgbClr val="3E5C3A"/>
            </a:solidFill>
            <a:ln w="9525" cap="flat" cmpd="sng" algn="ctr">
              <a:solidFill>
                <a:schemeClr val="lt1">
                  <a:shade val="95000"/>
                  <a:satMod val="105000"/>
                </a:schemeClr>
              </a:solidFill>
              <a:prstDash val="solid"/>
              <a:round/>
            </a:ln>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outEnd"/>
            <c:showLegendKey val="1"/>
            <c:showVal val="1"/>
            <c:showCatName val="0"/>
            <c:showSerName val="0"/>
            <c:showPercent val="1"/>
            <c:showBubbleSize val="1"/>
            <c:showLeaderLines val="0"/>
            <c:extLst>
              <c:ext xmlns:c15="http://schemas.microsoft.com/office/drawing/2012/chart" uri="{CE6537A1-D6FC-4f65-9D91-7224C49458BB}">
                <c15:layout/>
                <c15:showLeaderLines val="0"/>
                <c15:leaderLines/>
              </c:ext>
            </c:extLst>
          </c:dLbls>
          <c:cat>
            <c:strRef>
              <c:f>'05 Counts'!$A$3:$A$9</c:f>
              <c:strCache>
                <c:ptCount val="7"/>
                <c:pt idx="0">
                  <c:v>taste</c:v>
                </c:pt>
                <c:pt idx="1">
                  <c:v>health / wellness</c:v>
                </c:pt>
                <c:pt idx="2">
                  <c:v>energy / focus</c:v>
                </c:pt>
                <c:pt idx="3">
                  <c:v>coffee alternative</c:v>
                </c:pt>
                <c:pt idx="4">
                  <c:v>habit / ritual</c:v>
                </c:pt>
                <c:pt idx="5">
                  <c:v>perceived skincare</c:v>
                </c:pt>
                <c:pt idx="6">
                  <c:v>social / trend</c:v>
                </c:pt>
              </c:strCache>
            </c:strRef>
          </c:cat>
          <c:val>
            <c:numRef>
              <c:f>'05 Counts'!$B$3:$B$9</c:f>
              <c:numCache>
                <c:formatCode>General</c:formatCode>
                <c:ptCount val="7"/>
                <c:pt idx="0">
                  <c:v>9</c:v>
                </c:pt>
                <c:pt idx="1">
                  <c:v>6</c:v>
                </c:pt>
                <c:pt idx="2">
                  <c:v>6</c:v>
                </c:pt>
                <c:pt idx="3">
                  <c:v>2</c:v>
                </c:pt>
                <c:pt idx="4">
                  <c:v>2</c:v>
                </c:pt>
                <c:pt idx="5">
                  <c:v>3</c:v>
                </c:pt>
                <c:pt idx="6">
                  <c:v>2</c:v>
                </c:pt>
              </c:numCache>
            </c:numRef>
          </c:val>
        </c:ser>
        <c:dLbls>
          <c:showLegendKey val="1"/>
          <c:showVal val="1"/>
          <c:showCatName val="0"/>
          <c:showSerName val="0"/>
          <c:showPercent val="1"/>
          <c:showBubbleSize val="1"/>
        </c:dLbls>
        <c:gapWidth val="80"/>
        <c:axId val="10"/>
        <c:axId val="100"/>
      </c:barChart>
      <c:catAx>
        <c:axId val="10"/>
        <c:scaling>
          <c:orientation val="minMax"/>
        </c:scaling>
        <c:delete val="0"/>
        <c:axPos val="l"/>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1"/>
        <c:axPos val="b"/>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extLst>
      <c:ext uri="{0b15fc19-7d7d-44ad-8c2d-2c3a37ce22c3}">
        <chartProps xmlns="https://web.wps.cn/et/2018/main" chartId="{8bb39778-5b90-490a-ab02-28d0e31afbae}"/>
      </c:ext>
    </c:extLst>
  </c:chart>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How often</a:t>
            </a:r>
          </a:p>
        </c:rich>
      </c:tx>
      <c:layout/>
      <c:overlay val="0"/>
    </c:title>
    <c:autoTitleDeleted val="0"/>
    <c:plotArea>
      <c:layout/>
      <c:barChart>
        <c:barDir val="bar"/>
        <c:grouping val="clustered"/>
        <c:varyColors val="0"/>
        <c:ser>
          <c:idx val="0"/>
          <c:order val="0"/>
          <c:spPr>
            <a:solidFill>
              <a:srgbClr val="3E5C3A"/>
            </a:solidFill>
            <a:ln w="9525" cap="flat" cmpd="sng" algn="ctr">
              <a:solidFill>
                <a:schemeClr val="lt1">
                  <a:shade val="95000"/>
                  <a:satMod val="105000"/>
                </a:schemeClr>
              </a:solidFill>
              <a:prstDash val="solid"/>
              <a:round/>
            </a:ln>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outEnd"/>
            <c:showLegendKey val="1"/>
            <c:showVal val="1"/>
            <c:showCatName val="0"/>
            <c:showSerName val="0"/>
            <c:showPercent val="1"/>
            <c:showBubbleSize val="1"/>
            <c:showLeaderLines val="0"/>
            <c:extLst>
              <c:ext xmlns:c15="http://schemas.microsoft.com/office/drawing/2012/chart" uri="{CE6537A1-D6FC-4f65-9D91-7224C49458BB}">
                <c15:layout/>
                <c15:showLeaderLines val="0"/>
                <c15:leaderLines/>
              </c:ext>
            </c:extLst>
          </c:dLbls>
          <c:cat>
            <c:strRef>
              <c:f>'05 Counts'!$D$3:$D$6</c:f>
              <c:strCache>
                <c:ptCount val="4"/>
                <c:pt idx="0">
                  <c:v>Daily</c:v>
                </c:pt>
                <c:pt idx="1">
                  <c:v>3–5× / week</c:v>
                </c:pt>
                <c:pt idx="2">
                  <c:v>2–3× / week</c:v>
                </c:pt>
                <c:pt idx="3">
                  <c:v>1–2× / week</c:v>
                </c:pt>
              </c:strCache>
            </c:strRef>
          </c:cat>
          <c:val>
            <c:numRef>
              <c:f>'05 Counts'!$E$3:$E$6</c:f>
              <c:numCache>
                <c:formatCode>General</c:formatCode>
                <c:ptCount val="4"/>
                <c:pt idx="0">
                  <c:v>4</c:v>
                </c:pt>
                <c:pt idx="1">
                  <c:v>2</c:v>
                </c:pt>
                <c:pt idx="2">
                  <c:v>3</c:v>
                </c:pt>
                <c:pt idx="3">
                  <c:v>1</c:v>
                </c:pt>
              </c:numCache>
            </c:numRef>
          </c:val>
        </c:ser>
        <c:dLbls>
          <c:showLegendKey val="1"/>
          <c:showVal val="1"/>
          <c:showCatName val="0"/>
          <c:showSerName val="0"/>
          <c:showPercent val="1"/>
          <c:showBubbleSize val="1"/>
        </c:dLbls>
        <c:gapWidth val="80"/>
        <c:axId val="10"/>
        <c:axId val="100"/>
      </c:barChart>
      <c:catAx>
        <c:axId val="10"/>
        <c:scaling>
          <c:orientation val="minMax"/>
        </c:scaling>
        <c:delete val="0"/>
        <c:axPos val="l"/>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1"/>
        <c:axPos val="b"/>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extLst>
      <c:ext uri="{0b15fc19-7d7d-44ad-8c2d-2c3a37ce22c3}">
        <chartProps xmlns="https://web.wps.cn/et/2018/main" chartId="{6603e202-2be4-4604-9fc4-ed8a2d1c58e2}"/>
      </c:ext>
    </c:extLst>
  </c:chart>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Why they haven't switched to powder (non-regular, multi-code)</a:t>
            </a:r>
          </a:p>
        </c:rich>
      </c:tx>
      <c:layout/>
      <c:overlay val="0"/>
    </c:title>
    <c:autoTitleDeleted val="0"/>
    <c:plotArea>
      <c:layout/>
      <c:barChart>
        <c:barDir val="bar"/>
        <c:grouping val="clustered"/>
        <c:varyColors val="0"/>
        <c:ser>
          <c:idx val="0"/>
          <c:order val="0"/>
          <c:spPr>
            <a:solidFill>
              <a:srgbClr val="3E5C3A"/>
            </a:solidFill>
            <a:ln w="9525" cap="flat" cmpd="sng" algn="ctr">
              <a:solidFill>
                <a:schemeClr val="lt1">
                  <a:shade val="95000"/>
                  <a:satMod val="105000"/>
                </a:schemeClr>
              </a:solidFill>
              <a:prstDash val="solid"/>
              <a:round/>
            </a:ln>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outEnd"/>
            <c:showLegendKey val="1"/>
            <c:showVal val="1"/>
            <c:showCatName val="0"/>
            <c:showSerName val="0"/>
            <c:showPercent val="1"/>
            <c:showBubbleSize val="1"/>
            <c:showLeaderLines val="0"/>
            <c:extLst>
              <c:ext xmlns:c15="http://schemas.microsoft.com/office/drawing/2012/chart" uri="{CE6537A1-D6FC-4f65-9D91-7224C49458BB}">
                <c15:layout/>
                <c15:showLeaderLines val="0"/>
                <c15:leaderLines/>
              </c:ext>
            </c:extLst>
          </c:dLbls>
          <c:cat>
            <c:strRef>
              <c:f>'05 Counts'!$G$3:$G$8</c:f>
              <c:strCache>
                <c:ptCount val="6"/>
                <c:pt idx="0">
                  <c:v>Convenience / extra steps</c:v>
                </c:pt>
                <c:pt idx="1">
                  <c:v>Bitterness / bad first try</c:v>
                </c:pt>
                <c:pt idx="2">
                  <c:v>Don't know which to buy</c:v>
                </c:pt>
                <c:pt idx="3">
                  <c:v>No tools / don't want gadgets</c:v>
                </c:pt>
                <c:pt idx="4">
                  <c:v>Taste of cafe is already what they want</c:v>
                </c:pt>
                <c:pt idx="5">
                  <c:v>Price of tins looks scary</c:v>
                </c:pt>
              </c:strCache>
            </c:strRef>
          </c:cat>
          <c:val>
            <c:numRef>
              <c:f>'05 Counts'!$H$3:$H$8</c:f>
              <c:numCache>
                <c:formatCode>General</c:formatCode>
                <c:ptCount val="6"/>
                <c:pt idx="0">
                  <c:v>3</c:v>
                </c:pt>
                <c:pt idx="1">
                  <c:v>2</c:v>
                </c:pt>
                <c:pt idx="2">
                  <c:v>2</c:v>
                </c:pt>
                <c:pt idx="3">
                  <c:v>2</c:v>
                </c:pt>
                <c:pt idx="4">
                  <c:v>1</c:v>
                </c:pt>
                <c:pt idx="5">
                  <c:v>1</c:v>
                </c:pt>
              </c:numCache>
            </c:numRef>
          </c:val>
        </c:ser>
        <c:dLbls>
          <c:showLegendKey val="1"/>
          <c:showVal val="1"/>
          <c:showCatName val="0"/>
          <c:showSerName val="0"/>
          <c:showPercent val="1"/>
          <c:showBubbleSize val="1"/>
        </c:dLbls>
        <c:gapWidth val="80"/>
        <c:axId val="10"/>
        <c:axId val="100"/>
      </c:barChart>
      <c:catAx>
        <c:axId val="10"/>
        <c:scaling>
          <c:orientation val="minMax"/>
        </c:scaling>
        <c:delete val="0"/>
        <c:axPos val="l"/>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1"/>
        <c:axPos val="b"/>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extLst>
      <c:ext uri="{0b15fc19-7d7d-44ad-8c2d-2c3a37ce22c3}">
        <chartProps xmlns="https://web.wps.cn/et/2018/main" chartId="{26c41f49-9009-4a04-b8f4-d64f8443d5b9}"/>
      </c:ext>
    </c:extLst>
  </c:chart>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Reasonable powder pack (~30 drinks)</a:t>
            </a:r>
          </a:p>
        </c:rich>
      </c:tx>
      <c:layout/>
      <c:overlay val="0"/>
    </c:title>
    <c:autoTitleDeleted val="0"/>
    <c:plotArea>
      <c:layout/>
      <c:barChart>
        <c:barDir val="bar"/>
        <c:grouping val="clustered"/>
        <c:varyColors val="0"/>
        <c:ser>
          <c:idx val="0"/>
          <c:order val="0"/>
          <c:spPr>
            <a:solidFill>
              <a:srgbClr val="3E5C3A"/>
            </a:solidFill>
            <a:ln w="9525" cap="flat" cmpd="sng" algn="ctr">
              <a:solidFill>
                <a:schemeClr val="lt1">
                  <a:shade val="95000"/>
                  <a:satMod val="105000"/>
                </a:schemeClr>
              </a:solidFill>
              <a:prstDash val="solid"/>
              <a:round/>
            </a:ln>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outEnd"/>
            <c:showLegendKey val="1"/>
            <c:showVal val="1"/>
            <c:showCatName val="0"/>
            <c:showSerName val="0"/>
            <c:showPercent val="1"/>
            <c:showBubbleSize val="1"/>
            <c:showLeaderLines val="0"/>
            <c:extLst>
              <c:ext xmlns:c15="http://schemas.microsoft.com/office/drawing/2012/chart" uri="{CE6537A1-D6FC-4f65-9D91-7224C49458BB}">
                <c15:layout/>
                <c15:showLeaderLines val="0"/>
                <c15:leaderLines/>
              </c:ext>
            </c:extLst>
          </c:dLbls>
          <c:cat>
            <c:strRef>
              <c:f>'05 Counts'!$A$14:$A$18</c:f>
              <c:strCache>
                <c:ptCount val="5"/>
                <c:pt idx="0">
                  <c:v>$15–20</c:v>
                </c:pt>
                <c:pt idx="1">
                  <c:v>$20–25</c:v>
                </c:pt>
                <c:pt idx="2">
                  <c:v>$25–30</c:v>
                </c:pt>
                <c:pt idx="3">
                  <c:v>$30–35</c:v>
                </c:pt>
                <c:pt idx="4">
                  <c:v>$35+</c:v>
                </c:pt>
              </c:strCache>
            </c:strRef>
          </c:cat>
          <c:val>
            <c:numRef>
              <c:f>'05 Counts'!$B$14:$B$18</c:f>
              <c:numCache>
                <c:formatCode>General</c:formatCode>
                <c:ptCount val="5"/>
                <c:pt idx="0">
                  <c:v>1</c:v>
                </c:pt>
                <c:pt idx="1">
                  <c:v>2</c:v>
                </c:pt>
                <c:pt idx="2">
                  <c:v>6</c:v>
                </c:pt>
                <c:pt idx="3">
                  <c:v>0</c:v>
                </c:pt>
                <c:pt idx="4">
                  <c:v>1</c:v>
                </c:pt>
              </c:numCache>
            </c:numRef>
          </c:val>
        </c:ser>
        <c:dLbls>
          <c:showLegendKey val="1"/>
          <c:showVal val="1"/>
          <c:showCatName val="0"/>
          <c:showSerName val="0"/>
          <c:showPercent val="1"/>
          <c:showBubbleSize val="1"/>
        </c:dLbls>
        <c:gapWidth val="80"/>
        <c:axId val="10"/>
        <c:axId val="100"/>
      </c:barChart>
      <c:catAx>
        <c:axId val="10"/>
        <c:scaling>
          <c:orientation val="minMax"/>
        </c:scaling>
        <c:delete val="0"/>
        <c:axPos val="l"/>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1"/>
        <c:axPos val="b"/>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extLst>
      <c:ext uri="{0b15fc19-7d7d-44ad-8c2d-2c3a37ce22c3}">
        <chartProps xmlns="https://web.wps.cn/et/2018/main" chartId="{758ddc19-207c-4554-b3fe-942a93f960d5}"/>
      </c:ext>
    </c:extLst>
  </c:chart>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Usual cafe beverage paid</a:t>
            </a:r>
          </a:p>
        </c:rich>
      </c:tx>
      <c:layout/>
      <c:overlay val="0"/>
    </c:title>
    <c:autoTitleDeleted val="0"/>
    <c:plotArea>
      <c:layout/>
      <c:barChart>
        <c:barDir val="bar"/>
        <c:grouping val="clustered"/>
        <c:varyColors val="0"/>
        <c:ser>
          <c:idx val="0"/>
          <c:order val="0"/>
          <c:spPr>
            <a:solidFill>
              <a:srgbClr val="3E5C3A"/>
            </a:solidFill>
            <a:ln w="9525" cap="flat" cmpd="sng" algn="ctr">
              <a:solidFill>
                <a:schemeClr val="lt1">
                  <a:shade val="95000"/>
                  <a:satMod val="105000"/>
                </a:schemeClr>
              </a:solidFill>
              <a:prstDash val="solid"/>
              <a:round/>
            </a:ln>
          </c:spPr>
          <c:invertIfNegative val="0"/>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solidFill>
                    <a:latin typeface="+mn-lt"/>
                    <a:ea typeface="+mn-ea"/>
                    <a:cs typeface="+mn-cs"/>
                  </a:defRPr>
                </a:pPr>
              </a:p>
            </c:txPr>
            <c:dLblPos val="outEnd"/>
            <c:showLegendKey val="1"/>
            <c:showVal val="1"/>
            <c:showCatName val="0"/>
            <c:showSerName val="0"/>
            <c:showPercent val="1"/>
            <c:showBubbleSize val="1"/>
            <c:showLeaderLines val="0"/>
            <c:extLst>
              <c:ext xmlns:c15="http://schemas.microsoft.com/office/drawing/2012/chart" uri="{CE6537A1-D6FC-4f65-9D91-7224C49458BB}">
                <c15:layout/>
                <c15:showLeaderLines val="0"/>
                <c15:leaderLines/>
              </c:ext>
            </c:extLst>
          </c:dLbls>
          <c:cat>
            <c:strRef>
              <c:f>'05 Counts'!$E$14:$E$18</c:f>
              <c:strCache>
                <c:ptCount val="5"/>
                <c:pt idx="0">
                  <c:v>$5–6</c:v>
                </c:pt>
                <c:pt idx="1">
                  <c:v>$6–7</c:v>
                </c:pt>
                <c:pt idx="2">
                  <c:v>$7–8</c:v>
                </c:pt>
                <c:pt idx="3">
                  <c:v>$8–10</c:v>
                </c:pt>
                <c:pt idx="4">
                  <c:v>$10+</c:v>
                </c:pt>
              </c:strCache>
            </c:strRef>
          </c:cat>
          <c:val>
            <c:numRef>
              <c:f>'05 Counts'!$F$14:$F$18</c:f>
              <c:numCache>
                <c:formatCode>General</c:formatCode>
                <c:ptCount val="5"/>
                <c:pt idx="0">
                  <c:v>0</c:v>
                </c:pt>
                <c:pt idx="1">
                  <c:v>4</c:v>
                </c:pt>
                <c:pt idx="2">
                  <c:v>5</c:v>
                </c:pt>
                <c:pt idx="3">
                  <c:v>1</c:v>
                </c:pt>
                <c:pt idx="4">
                  <c:v>0</c:v>
                </c:pt>
              </c:numCache>
            </c:numRef>
          </c:val>
        </c:ser>
        <c:dLbls>
          <c:showLegendKey val="1"/>
          <c:showVal val="1"/>
          <c:showCatName val="0"/>
          <c:showSerName val="0"/>
          <c:showPercent val="1"/>
          <c:showBubbleSize val="1"/>
        </c:dLbls>
        <c:gapWidth val="80"/>
        <c:axId val="10"/>
        <c:axId val="100"/>
      </c:barChart>
      <c:catAx>
        <c:axId val="10"/>
        <c:scaling>
          <c:orientation val="minMax"/>
        </c:scaling>
        <c:delete val="0"/>
        <c:axPos val="l"/>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1"/>
        <c:axPos val="b"/>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extLst>
      <c:ext uri="{0b15fc19-7d7d-44ad-8c2d-2c3a37ce22c3}">
        <chartProps xmlns="https://web.wps.cn/et/2018/main" chartId="{ad4e4cf0-79dd-40fa-b9a7-e212d074c9f9}"/>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xdr:row>
      <xdr:rowOff>0</xdr:rowOff>
    </xdr:from>
    <xdr:ext cx="4320000" cy="2689500"/>
    <xdr:graphicFrame>
      <xdr:nvGraphicFramePr>
        <xdr:cNvPr id="2" name="Chart 1"/>
        <xdr:cNvGraphicFramePr/>
      </xdr:nvGraphicFramePr>
      <xdr:xfrm>
        <a:off x="0" y="177800"/>
        <a:ext cx="4319905" cy="268922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17</xdr:row>
      <xdr:rowOff>0</xdr:rowOff>
    </xdr:from>
    <xdr:ext cx="4320000" cy="2020300"/>
    <xdr:graphicFrame>
      <xdr:nvGraphicFramePr>
        <xdr:cNvPr id="3" name="Chart 2"/>
        <xdr:cNvGraphicFramePr/>
      </xdr:nvGraphicFramePr>
      <xdr:xfrm>
        <a:off x="0" y="3022600"/>
        <a:ext cx="4319905" cy="2019935"/>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xdr:col>
      <xdr:colOff>800100</xdr:colOff>
      <xdr:row>1</xdr:row>
      <xdr:rowOff>6350</xdr:rowOff>
    </xdr:from>
    <xdr:ext cx="4320000" cy="2689500"/>
    <xdr:graphicFrame>
      <xdr:nvGraphicFramePr>
        <xdr:cNvPr id="4" name="Chart 3"/>
        <xdr:cNvGraphicFramePr/>
      </xdr:nvGraphicFramePr>
      <xdr:xfrm>
        <a:off x="4572000" y="184150"/>
        <a:ext cx="4319905" cy="2689225"/>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3</xdr:col>
      <xdr:colOff>793750</xdr:colOff>
      <xdr:row>16</xdr:row>
      <xdr:rowOff>171450</xdr:rowOff>
    </xdr:from>
    <xdr:ext cx="4320000" cy="2354900"/>
    <xdr:graphicFrame>
      <xdr:nvGraphicFramePr>
        <xdr:cNvPr id="5" name="Chart 4"/>
        <xdr:cNvGraphicFramePr/>
      </xdr:nvGraphicFramePr>
      <xdr:xfrm>
        <a:off x="4565650" y="3016250"/>
        <a:ext cx="4319905" cy="235458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29</xdr:row>
      <xdr:rowOff>0</xdr:rowOff>
    </xdr:from>
    <xdr:ext cx="4320000" cy="2354900"/>
    <xdr:graphicFrame>
      <xdr:nvGraphicFramePr>
        <xdr:cNvPr id="6" name="Chart 5"/>
        <xdr:cNvGraphicFramePr/>
      </xdr:nvGraphicFramePr>
      <xdr:xfrm>
        <a:off x="0" y="5156200"/>
        <a:ext cx="4319905" cy="235458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E5C3A"/>
    <pageSetUpPr fitToPage="1"/>
  </sheetPr>
  <dimension ref="A1:B14"/>
  <sheetViews>
    <sheetView showGridLines="0" workbookViewId="0">
      <selection activeCell="A1" sqref="A1"/>
    </sheetView>
  </sheetViews>
  <sheetFormatPr defaultColWidth="9" defaultRowHeight="15.5" outlineLevelCol="1"/>
  <cols>
    <col min="1" max="1" width="10" style="53" customWidth="1"/>
    <col min="2" max="2" width="78" style="53" customWidth="1"/>
    <col min="3" max="16384" width="9" style="53"/>
  </cols>
  <sheetData>
    <row r="1" spans="1:2">
      <c r="A1" s="54"/>
      <c r="B1" s="54" t="s">
        <v>0</v>
      </c>
    </row>
    <row r="2" ht="38" customHeight="1" spans="1:2">
      <c r="A2" s="59" t="s">
        <v>1</v>
      </c>
      <c r="B2" s="60" t="s">
        <v>2</v>
      </c>
    </row>
    <row r="3" ht="38" customHeight="1" spans="1:2">
      <c r="A3" s="59" t="s">
        <v>3</v>
      </c>
      <c r="B3" s="60" t="s">
        <v>4</v>
      </c>
    </row>
    <row r="4" ht="53" customHeight="1" spans="1:2">
      <c r="A4" s="59" t="s">
        <v>5</v>
      </c>
      <c r="B4" s="60" t="s">
        <v>6</v>
      </c>
    </row>
    <row r="5" ht="38" customHeight="1" spans="1:2">
      <c r="A5" s="59" t="s">
        <v>7</v>
      </c>
      <c r="B5" s="60" t="s">
        <v>8</v>
      </c>
    </row>
    <row r="6" ht="38" customHeight="1" spans="1:2">
      <c r="A6" s="59" t="s">
        <v>9</v>
      </c>
      <c r="B6" s="60" t="s">
        <v>10</v>
      </c>
    </row>
    <row r="7" ht="38" customHeight="1" spans="1:2">
      <c r="A7" s="59" t="s">
        <v>11</v>
      </c>
      <c r="B7" s="60" t="s">
        <v>12</v>
      </c>
    </row>
    <row r="8" ht="38" customHeight="1" spans="1:2">
      <c r="A8" s="59" t="s">
        <v>13</v>
      </c>
      <c r="B8" s="60" t="s">
        <v>14</v>
      </c>
    </row>
    <row r="9" ht="38" customHeight="1" spans="1:2">
      <c r="A9" s="59" t="s">
        <v>15</v>
      </c>
      <c r="B9" s="60" t="s">
        <v>16</v>
      </c>
    </row>
    <row r="10" ht="38" customHeight="1" spans="1:2">
      <c r="A10" s="59" t="s">
        <v>17</v>
      </c>
      <c r="B10" s="60" t="s">
        <v>18</v>
      </c>
    </row>
    <row r="11" ht="38" customHeight="1" spans="1:2">
      <c r="A11" s="59" t="s">
        <v>19</v>
      </c>
      <c r="B11" s="60" t="s">
        <v>20</v>
      </c>
    </row>
    <row r="12" ht="38" customHeight="1" spans="1:2">
      <c r="A12" s="59" t="s">
        <v>21</v>
      </c>
      <c r="B12" s="60" t="s">
        <v>22</v>
      </c>
    </row>
    <row r="14" spans="1:2">
      <c r="A14" s="64"/>
    </row>
  </sheetData>
  <pageMargins left="0.4" right="0.4" top="0.5" bottom="0.5" header="0.5" footer="0.5"/>
  <pageSetup paperSize="3" fitToHeight="0" orientation="landscape"/>
  <headerFooter>
    <oddHeader>&amp;LMatcha Field Notes</oddHeader>
    <oddFooter>&amp;LGuide&amp;Rn=10 working sample · R01 primary · R02–R10 secondary</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E5C3A"/>
    <pageSetUpPr fitToPage="1"/>
  </sheetPr>
  <dimension ref="A1:V11"/>
  <sheetViews>
    <sheetView showGridLines="0" workbookViewId="0">
      <pane xSplit="1" ySplit="1" topLeftCell="J9" activePane="bottomRight" state="frozen"/>
      <selection/>
      <selection pane="topRight"/>
      <selection pane="bottomLeft"/>
      <selection pane="bottomRight" activeCell="L1" sqref="L1:M11"/>
    </sheetView>
  </sheetViews>
  <sheetFormatPr defaultColWidth="9" defaultRowHeight="14"/>
  <cols>
    <col min="1" max="1" width="6" style="6" customWidth="1"/>
    <col min="2" max="2" width="10" style="6" customWidth="1"/>
    <col min="3" max="3" width="9" style="6" customWidth="1"/>
    <col min="4" max="4" width="12" style="6" customWidth="1"/>
    <col min="5" max="5" width="16" style="6" customWidth="1"/>
    <col min="6" max="6" width="22" style="6" customWidth="1"/>
    <col min="7" max="7" width="50.2727272727273" style="6" customWidth="1"/>
    <col min="8" max="9" width="28" style="6" customWidth="1"/>
    <col min="10" max="10" width="32" style="6" customWidth="1"/>
    <col min="11" max="11" width="26" style="6" customWidth="1"/>
    <col min="12" max="12" width="28" style="6" customWidth="1"/>
    <col min="13" max="13" width="16" style="6" customWidth="1"/>
    <col min="14" max="14" width="40" style="6" customWidth="1"/>
    <col min="15" max="18" width="14" style="6" customWidth="1"/>
    <col min="19" max="20" width="36" style="6" customWidth="1"/>
    <col min="21" max="21" width="18" style="6" customWidth="1"/>
    <col min="22" max="22" width="36" style="6" customWidth="1"/>
  </cols>
  <sheetData>
    <row r="1" ht="32" customHeight="1" spans="1:22">
      <c r="A1" s="11" t="s">
        <v>23</v>
      </c>
      <c r="B1" s="11" t="s">
        <v>24</v>
      </c>
      <c r="C1" s="11" t="s">
        <v>25</v>
      </c>
      <c r="D1" s="11" t="s">
        <v>26</v>
      </c>
      <c r="E1" s="11" t="s">
        <v>27</v>
      </c>
      <c r="F1" s="11" t="s">
        <v>28</v>
      </c>
      <c r="G1" s="11" t="s">
        <v>29</v>
      </c>
      <c r="H1" s="11" t="s">
        <v>30</v>
      </c>
      <c r="I1" s="11" t="s">
        <v>31</v>
      </c>
      <c r="J1" s="11" t="s">
        <v>32</v>
      </c>
      <c r="K1" s="11" t="s">
        <v>33</v>
      </c>
      <c r="L1" s="11" t="s">
        <v>34</v>
      </c>
      <c r="M1" s="11" t="s">
        <v>35</v>
      </c>
      <c r="N1" s="11" t="s">
        <v>36</v>
      </c>
      <c r="O1" s="11" t="s">
        <v>37</v>
      </c>
      <c r="P1" s="11" t="s">
        <v>38</v>
      </c>
      <c r="Q1" s="11" t="s">
        <v>39</v>
      </c>
      <c r="R1" s="11" t="s">
        <v>40</v>
      </c>
      <c r="S1" s="11" t="s">
        <v>41</v>
      </c>
      <c r="T1" s="11" t="s">
        <v>42</v>
      </c>
      <c r="U1" s="11" t="s">
        <v>43</v>
      </c>
      <c r="V1" s="11" t="s">
        <v>44</v>
      </c>
    </row>
    <row r="2" ht="130" customHeight="1" spans="1:22">
      <c r="A2" s="56" t="s">
        <v>45</v>
      </c>
      <c r="B2" s="56" t="s">
        <v>46</v>
      </c>
      <c r="C2" s="56" t="s">
        <v>47</v>
      </c>
      <c r="D2" s="56" t="s">
        <v>48</v>
      </c>
      <c r="E2" s="56" t="s">
        <v>49</v>
      </c>
      <c r="F2" s="56" t="s">
        <v>50</v>
      </c>
      <c r="G2" s="56" t="s">
        <v>51</v>
      </c>
      <c r="H2" s="56" t="s">
        <v>52</v>
      </c>
      <c r="I2" s="56" t="s">
        <v>53</v>
      </c>
      <c r="J2" s="56" t="s">
        <v>54</v>
      </c>
      <c r="K2" s="56" t="s">
        <v>55</v>
      </c>
      <c r="L2" s="56" t="s">
        <v>56</v>
      </c>
      <c r="M2" s="56" t="s">
        <v>57</v>
      </c>
      <c r="N2" s="56" t="s">
        <v>58</v>
      </c>
      <c r="O2" s="61">
        <v>30</v>
      </c>
      <c r="P2" s="61">
        <v>1</v>
      </c>
      <c r="Q2" s="61">
        <v>7.5</v>
      </c>
      <c r="R2" s="56" t="s">
        <v>59</v>
      </c>
      <c r="S2" s="56" t="s">
        <v>60</v>
      </c>
      <c r="T2" s="56" t="s">
        <v>61</v>
      </c>
      <c r="U2" s="56" t="s">
        <v>62</v>
      </c>
      <c r="V2" s="56" t="s">
        <v>63</v>
      </c>
    </row>
    <row r="3" ht="78" customHeight="1" spans="1:22">
      <c r="A3" s="58" t="s">
        <v>64</v>
      </c>
      <c r="B3" s="58" t="s">
        <v>65</v>
      </c>
      <c r="C3" s="58" t="s">
        <v>47</v>
      </c>
      <c r="D3" s="58" t="s">
        <v>66</v>
      </c>
      <c r="E3" s="58" t="s">
        <v>67</v>
      </c>
      <c r="F3" s="58" t="s">
        <v>68</v>
      </c>
      <c r="G3" s="58" t="s">
        <v>69</v>
      </c>
      <c r="H3" s="58" t="s">
        <v>70</v>
      </c>
      <c r="I3" s="58" t="s">
        <v>71</v>
      </c>
      <c r="J3" s="58" t="s">
        <v>72</v>
      </c>
      <c r="K3" s="58" t="s">
        <v>73</v>
      </c>
      <c r="L3" s="58" t="s">
        <v>74</v>
      </c>
      <c r="M3" s="58" t="s">
        <v>75</v>
      </c>
      <c r="N3" s="58" t="s">
        <v>76</v>
      </c>
      <c r="O3" s="62">
        <v>28</v>
      </c>
      <c r="P3" s="62">
        <v>0.93</v>
      </c>
      <c r="Q3" s="62">
        <v>7.25</v>
      </c>
      <c r="R3" s="62">
        <v>9</v>
      </c>
      <c r="S3" s="58" t="s">
        <v>77</v>
      </c>
      <c r="T3" s="58" t="s">
        <v>78</v>
      </c>
      <c r="U3" s="58" t="s">
        <v>79</v>
      </c>
      <c r="V3" s="58" t="s">
        <v>80</v>
      </c>
    </row>
    <row r="4" ht="78" customHeight="1" spans="1:22">
      <c r="A4" s="60" t="s">
        <v>81</v>
      </c>
      <c r="B4" s="60" t="s">
        <v>46</v>
      </c>
      <c r="C4" s="60" t="s">
        <v>82</v>
      </c>
      <c r="D4" s="60" t="s">
        <v>83</v>
      </c>
      <c r="E4" s="60" t="s">
        <v>84</v>
      </c>
      <c r="F4" s="60" t="s">
        <v>85</v>
      </c>
      <c r="G4" s="60" t="s">
        <v>86</v>
      </c>
      <c r="H4" s="60" t="s">
        <v>87</v>
      </c>
      <c r="I4" s="60" t="s">
        <v>88</v>
      </c>
      <c r="J4" s="60" t="s">
        <v>89</v>
      </c>
      <c r="K4" s="60" t="s">
        <v>90</v>
      </c>
      <c r="L4" s="60" t="s">
        <v>91</v>
      </c>
      <c r="M4" s="60" t="s">
        <v>75</v>
      </c>
      <c r="N4" s="60" t="s">
        <v>92</v>
      </c>
      <c r="O4" s="63">
        <v>24</v>
      </c>
      <c r="P4" s="63">
        <v>0.8</v>
      </c>
      <c r="Q4" s="63">
        <v>6.5</v>
      </c>
      <c r="R4" s="63">
        <v>10</v>
      </c>
      <c r="S4" s="60" t="s">
        <v>93</v>
      </c>
      <c r="T4" s="60" t="s">
        <v>94</v>
      </c>
      <c r="U4" s="60" t="s">
        <v>79</v>
      </c>
      <c r="V4" s="60" t="s">
        <v>95</v>
      </c>
    </row>
    <row r="5" ht="78" customHeight="1" spans="1:22">
      <c r="A5" s="58" t="s">
        <v>96</v>
      </c>
      <c r="B5" s="58" t="s">
        <v>65</v>
      </c>
      <c r="C5" s="58" t="s">
        <v>47</v>
      </c>
      <c r="D5" s="58" t="s">
        <v>97</v>
      </c>
      <c r="E5" s="58" t="s">
        <v>49</v>
      </c>
      <c r="F5" s="58" t="s">
        <v>98</v>
      </c>
      <c r="G5" s="58" t="s">
        <v>99</v>
      </c>
      <c r="H5" s="58" t="s">
        <v>100</v>
      </c>
      <c r="I5" s="58" t="s">
        <v>101</v>
      </c>
      <c r="J5" s="58" t="s">
        <v>102</v>
      </c>
      <c r="K5" s="58" t="s">
        <v>103</v>
      </c>
      <c r="L5" s="58" t="s">
        <v>104</v>
      </c>
      <c r="M5" s="58" t="s">
        <v>105</v>
      </c>
      <c r="N5" s="58" t="s">
        <v>106</v>
      </c>
      <c r="O5" s="62">
        <v>25</v>
      </c>
      <c r="P5" s="62">
        <v>0.83</v>
      </c>
      <c r="Q5" s="62">
        <v>7.5</v>
      </c>
      <c r="R5" s="62">
        <v>10</v>
      </c>
      <c r="S5" s="58" t="s">
        <v>107</v>
      </c>
      <c r="T5" s="58" t="s">
        <v>108</v>
      </c>
      <c r="U5" s="58" t="s">
        <v>62</v>
      </c>
      <c r="V5" s="58" t="s">
        <v>109</v>
      </c>
    </row>
    <row r="6" ht="78" customHeight="1" spans="1:22">
      <c r="A6" s="60" t="s">
        <v>110</v>
      </c>
      <c r="B6" s="60" t="s">
        <v>46</v>
      </c>
      <c r="C6" s="60" t="s">
        <v>47</v>
      </c>
      <c r="D6" s="60" t="s">
        <v>111</v>
      </c>
      <c r="E6" s="60" t="s">
        <v>112</v>
      </c>
      <c r="F6" s="60" t="s">
        <v>113</v>
      </c>
      <c r="G6" s="60" t="s">
        <v>114</v>
      </c>
      <c r="H6" s="60" t="s">
        <v>115</v>
      </c>
      <c r="I6" s="60" t="s">
        <v>116</v>
      </c>
      <c r="J6" s="60" t="s">
        <v>117</v>
      </c>
      <c r="K6" s="60" t="s">
        <v>118</v>
      </c>
      <c r="L6" s="60" t="s">
        <v>119</v>
      </c>
      <c r="M6" s="60" t="s">
        <v>75</v>
      </c>
      <c r="N6" s="60" t="s">
        <v>120</v>
      </c>
      <c r="O6" s="63">
        <v>30</v>
      </c>
      <c r="P6" s="63">
        <v>1</v>
      </c>
      <c r="Q6" s="63">
        <v>7</v>
      </c>
      <c r="R6" s="63">
        <v>9</v>
      </c>
      <c r="S6" s="60" t="s">
        <v>121</v>
      </c>
      <c r="T6" s="60" t="s">
        <v>122</v>
      </c>
      <c r="U6" s="60" t="s">
        <v>79</v>
      </c>
      <c r="V6" s="60" t="s">
        <v>123</v>
      </c>
    </row>
    <row r="7" ht="78" customHeight="1" spans="1:22">
      <c r="A7" s="58" t="s">
        <v>124</v>
      </c>
      <c r="B7" s="58" t="s">
        <v>65</v>
      </c>
      <c r="C7" s="58" t="s">
        <v>82</v>
      </c>
      <c r="D7" s="58" t="s">
        <v>125</v>
      </c>
      <c r="E7" s="58" t="s">
        <v>112</v>
      </c>
      <c r="F7" s="58" t="s">
        <v>126</v>
      </c>
      <c r="G7" s="58" t="s">
        <v>127</v>
      </c>
      <c r="H7" s="58" t="s">
        <v>128</v>
      </c>
      <c r="I7" s="58" t="s">
        <v>129</v>
      </c>
      <c r="J7" s="58" t="s">
        <v>130</v>
      </c>
      <c r="K7" s="58" t="s">
        <v>131</v>
      </c>
      <c r="L7" s="58" t="s">
        <v>132</v>
      </c>
      <c r="M7" s="58" t="s">
        <v>75</v>
      </c>
      <c r="N7" s="58" t="s">
        <v>133</v>
      </c>
      <c r="O7" s="62">
        <v>19</v>
      </c>
      <c r="P7" s="62">
        <v>0.63</v>
      </c>
      <c r="Q7" s="62">
        <v>6.25</v>
      </c>
      <c r="R7" s="62">
        <v>8</v>
      </c>
      <c r="S7" s="58" t="s">
        <v>134</v>
      </c>
      <c r="T7" s="58" t="s">
        <v>135</v>
      </c>
      <c r="U7" s="58" t="s">
        <v>79</v>
      </c>
      <c r="V7" s="58" t="s">
        <v>136</v>
      </c>
    </row>
    <row r="8" ht="78" customHeight="1" spans="1:22">
      <c r="A8" s="60" t="s">
        <v>137</v>
      </c>
      <c r="B8" s="60" t="s">
        <v>46</v>
      </c>
      <c r="C8" s="60" t="s">
        <v>47</v>
      </c>
      <c r="D8" s="60" t="s">
        <v>138</v>
      </c>
      <c r="E8" s="60" t="s">
        <v>139</v>
      </c>
      <c r="F8" s="60" t="s">
        <v>140</v>
      </c>
      <c r="G8" s="60" t="s">
        <v>141</v>
      </c>
      <c r="H8" s="60" t="s">
        <v>142</v>
      </c>
      <c r="I8" s="60" t="s">
        <v>143</v>
      </c>
      <c r="J8" s="60" t="s">
        <v>144</v>
      </c>
      <c r="K8" s="60" t="s">
        <v>145</v>
      </c>
      <c r="L8" s="60" t="s">
        <v>146</v>
      </c>
      <c r="M8" s="60" t="s">
        <v>65</v>
      </c>
      <c r="N8" s="60" t="s">
        <v>147</v>
      </c>
      <c r="O8" s="63">
        <v>28</v>
      </c>
      <c r="P8" s="63">
        <v>0.93</v>
      </c>
      <c r="Q8" s="63">
        <v>7.5</v>
      </c>
      <c r="R8" s="63">
        <v>9</v>
      </c>
      <c r="S8" s="60" t="s">
        <v>148</v>
      </c>
      <c r="T8" s="60" t="s">
        <v>149</v>
      </c>
      <c r="U8" s="60" t="s">
        <v>62</v>
      </c>
      <c r="V8" s="60" t="s">
        <v>150</v>
      </c>
    </row>
    <row r="9" ht="78" customHeight="1" spans="1:22">
      <c r="A9" s="58" t="s">
        <v>151</v>
      </c>
      <c r="B9" s="58" t="s">
        <v>65</v>
      </c>
      <c r="C9" s="58" t="s">
        <v>47</v>
      </c>
      <c r="D9" s="58" t="s">
        <v>152</v>
      </c>
      <c r="E9" s="58" t="s">
        <v>153</v>
      </c>
      <c r="F9" s="58" t="s">
        <v>154</v>
      </c>
      <c r="G9" s="58" t="s">
        <v>155</v>
      </c>
      <c r="H9" s="58" t="s">
        <v>156</v>
      </c>
      <c r="I9" s="58" t="s">
        <v>157</v>
      </c>
      <c r="J9" s="58" t="s">
        <v>158</v>
      </c>
      <c r="K9" s="58" t="s">
        <v>159</v>
      </c>
      <c r="L9" s="58" t="s">
        <v>160</v>
      </c>
      <c r="M9" s="58" t="s">
        <v>161</v>
      </c>
      <c r="N9" s="58" t="s">
        <v>162</v>
      </c>
      <c r="O9" s="62">
        <v>22</v>
      </c>
      <c r="P9" s="62">
        <v>0.73</v>
      </c>
      <c r="Q9" s="62">
        <v>6.5</v>
      </c>
      <c r="R9" s="62">
        <v>8.5</v>
      </c>
      <c r="S9" s="58" t="s">
        <v>163</v>
      </c>
      <c r="T9" s="58" t="s">
        <v>164</v>
      </c>
      <c r="U9" s="58" t="s">
        <v>62</v>
      </c>
      <c r="V9" s="58" t="s">
        <v>165</v>
      </c>
    </row>
    <row r="10" ht="78" customHeight="1" spans="1:22">
      <c r="A10" s="60" t="s">
        <v>166</v>
      </c>
      <c r="B10" s="60" t="s">
        <v>46</v>
      </c>
      <c r="C10" s="60" t="s">
        <v>82</v>
      </c>
      <c r="D10" s="60" t="s">
        <v>66</v>
      </c>
      <c r="E10" s="60" t="s">
        <v>49</v>
      </c>
      <c r="F10" s="60" t="s">
        <v>167</v>
      </c>
      <c r="G10" s="60" t="s">
        <v>168</v>
      </c>
      <c r="H10" s="60" t="s">
        <v>169</v>
      </c>
      <c r="I10" s="60" t="s">
        <v>170</v>
      </c>
      <c r="J10" s="60" t="s">
        <v>171</v>
      </c>
      <c r="K10" s="60" t="s">
        <v>172</v>
      </c>
      <c r="L10" s="60" t="s">
        <v>173</v>
      </c>
      <c r="M10" s="60" t="s">
        <v>75</v>
      </c>
      <c r="N10" s="60" t="s">
        <v>174</v>
      </c>
      <c r="O10" s="63">
        <v>25</v>
      </c>
      <c r="P10" s="63">
        <v>0.83</v>
      </c>
      <c r="Q10" s="63">
        <v>6</v>
      </c>
      <c r="R10" s="63">
        <v>8</v>
      </c>
      <c r="S10" s="60" t="s">
        <v>175</v>
      </c>
      <c r="T10" s="60" t="s">
        <v>176</v>
      </c>
      <c r="U10" s="60" t="s">
        <v>79</v>
      </c>
      <c r="V10" s="60" t="s">
        <v>177</v>
      </c>
    </row>
    <row r="11" ht="78" customHeight="1" spans="1:22">
      <c r="A11" s="58" t="s">
        <v>178</v>
      </c>
      <c r="B11" s="58" t="s">
        <v>65</v>
      </c>
      <c r="C11" s="58" t="s">
        <v>47</v>
      </c>
      <c r="D11" s="58" t="s">
        <v>83</v>
      </c>
      <c r="E11" s="58" t="s">
        <v>112</v>
      </c>
      <c r="F11" s="58" t="s">
        <v>179</v>
      </c>
      <c r="G11" s="58" t="s">
        <v>180</v>
      </c>
      <c r="H11" s="58" t="s">
        <v>87</v>
      </c>
      <c r="I11" s="58" t="s">
        <v>181</v>
      </c>
      <c r="J11" s="58" t="s">
        <v>182</v>
      </c>
      <c r="K11" s="58" t="s">
        <v>183</v>
      </c>
      <c r="L11" s="58" t="s">
        <v>184</v>
      </c>
      <c r="M11" s="58" t="s">
        <v>75</v>
      </c>
      <c r="N11" s="58" t="s">
        <v>185</v>
      </c>
      <c r="O11" s="62">
        <v>38</v>
      </c>
      <c r="P11" s="62">
        <v>1.27</v>
      </c>
      <c r="Q11" s="62">
        <v>8.5</v>
      </c>
      <c r="R11" s="62">
        <v>12</v>
      </c>
      <c r="S11" s="58" t="s">
        <v>186</v>
      </c>
      <c r="T11" s="58" t="s">
        <v>187</v>
      </c>
      <c r="U11" s="58" t="s">
        <v>79</v>
      </c>
      <c r="V11" s="58" t="s">
        <v>188</v>
      </c>
    </row>
  </sheetData>
  <autoFilter xmlns:etc="http://www.wps.cn/officeDocument/2017/etCustomData" ref="A1:V11" etc:filterBottomFollowUsedRange="0">
    <extLst/>
  </autoFilter>
  <pageMargins left="0.4" right="0.4" top="0.5" bottom="0.5" header="0.5" footer="0.5"/>
  <pageSetup paperSize="3" fitToHeight="0" orientation="landscape"/>
  <headerFooter>
    <oddHeader>&amp;LMatcha Field Notes</oddHeader>
    <oddFooter>&amp;LRaw matrix&amp;Rn=10 working sample · R01 primary · R02–R10 secondary</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E5C3A"/>
    <pageSetUpPr fitToPage="1"/>
  </sheetPr>
  <dimension ref="A1:D11"/>
  <sheetViews>
    <sheetView showGridLines="0" workbookViewId="0">
      <pane ySplit="1" topLeftCell="A4" activePane="bottomLeft" state="frozen"/>
      <selection/>
      <selection pane="bottomLeft" activeCell="C5" sqref="$A1:$XFD1048576"/>
    </sheetView>
  </sheetViews>
  <sheetFormatPr defaultColWidth="9" defaultRowHeight="15.5" outlineLevelCol="3"/>
  <cols>
    <col min="1" max="1" width="8" style="53" customWidth="1"/>
    <col min="2" max="2" width="16" style="53" customWidth="1"/>
    <col min="3" max="4" width="72" style="53" customWidth="1"/>
    <col min="5" max="16384" width="9" style="53"/>
  </cols>
  <sheetData>
    <row r="1" spans="1:4">
      <c r="A1" s="54" t="s">
        <v>189</v>
      </c>
      <c r="B1" s="54" t="s">
        <v>43</v>
      </c>
      <c r="C1" s="54" t="s">
        <v>190</v>
      </c>
      <c r="D1" s="54" t="s">
        <v>191</v>
      </c>
    </row>
    <row r="2" ht="48" customHeight="1" spans="1:4">
      <c r="A2" s="55" t="s">
        <v>45</v>
      </c>
      <c r="B2" s="56" t="s">
        <v>62</v>
      </c>
      <c r="C2" s="56" t="s">
        <v>61</v>
      </c>
      <c r="D2" s="56" t="s">
        <v>192</v>
      </c>
    </row>
    <row r="3" ht="48" customHeight="1" spans="1:4">
      <c r="A3" s="57" t="s">
        <v>64</v>
      </c>
      <c r="B3" s="58" t="s">
        <v>79</v>
      </c>
      <c r="C3" s="58" t="s">
        <v>78</v>
      </c>
      <c r="D3" s="58" t="s">
        <v>193</v>
      </c>
    </row>
    <row r="4" ht="48" customHeight="1" spans="1:4">
      <c r="A4" s="59" t="s">
        <v>81</v>
      </c>
      <c r="B4" s="60" t="s">
        <v>79</v>
      </c>
      <c r="C4" s="60" t="s">
        <v>94</v>
      </c>
      <c r="D4" s="60" t="s">
        <v>194</v>
      </c>
    </row>
    <row r="5" ht="48" customHeight="1" spans="1:4">
      <c r="A5" s="57" t="s">
        <v>96</v>
      </c>
      <c r="B5" s="58" t="s">
        <v>62</v>
      </c>
      <c r="C5" s="58" t="s">
        <v>108</v>
      </c>
      <c r="D5" s="58" t="s">
        <v>195</v>
      </c>
    </row>
    <row r="6" ht="48" customHeight="1" spans="1:4">
      <c r="A6" s="59" t="s">
        <v>110</v>
      </c>
      <c r="B6" s="60" t="s">
        <v>79</v>
      </c>
      <c r="C6" s="60" t="s">
        <v>122</v>
      </c>
      <c r="D6" s="60" t="s">
        <v>196</v>
      </c>
    </row>
    <row r="7" ht="48" customHeight="1" spans="1:4">
      <c r="A7" s="57" t="s">
        <v>124</v>
      </c>
      <c r="B7" s="58" t="s">
        <v>79</v>
      </c>
      <c r="C7" s="58" t="s">
        <v>135</v>
      </c>
      <c r="D7" s="58" t="s">
        <v>197</v>
      </c>
    </row>
    <row r="8" ht="48" customHeight="1" spans="1:4">
      <c r="A8" s="59" t="s">
        <v>137</v>
      </c>
      <c r="B8" s="60" t="s">
        <v>62</v>
      </c>
      <c r="C8" s="60" t="s">
        <v>149</v>
      </c>
      <c r="D8" s="60" t="s">
        <v>198</v>
      </c>
    </row>
    <row r="9" ht="48" customHeight="1" spans="1:4">
      <c r="A9" s="57" t="s">
        <v>151</v>
      </c>
      <c r="B9" s="58" t="s">
        <v>62</v>
      </c>
      <c r="C9" s="58" t="s">
        <v>164</v>
      </c>
      <c r="D9" s="58" t="s">
        <v>199</v>
      </c>
    </row>
    <row r="10" ht="48" customHeight="1" spans="1:4">
      <c r="A10" s="59" t="s">
        <v>166</v>
      </c>
      <c r="B10" s="60" t="s">
        <v>79</v>
      </c>
      <c r="C10" s="60" t="s">
        <v>176</v>
      </c>
      <c r="D10" s="60" t="s">
        <v>200</v>
      </c>
    </row>
    <row r="11" ht="48" customHeight="1" spans="1:4">
      <c r="A11" s="57" t="s">
        <v>178</v>
      </c>
      <c r="B11" s="58" t="s">
        <v>79</v>
      </c>
      <c r="C11" s="58" t="s">
        <v>187</v>
      </c>
      <c r="D11" s="58" t="s">
        <v>201</v>
      </c>
    </row>
  </sheetData>
  <pageMargins left="0.4" right="0.4" top="0.5" bottom="0.5" header="0.5" footer="0.5"/>
  <pageSetup paperSize="3" fitToHeight="0" orientation="landscape"/>
  <headerFooter>
    <oddHeader>&amp;LMatcha Field Notes</oddHeader>
    <oddFooter>&amp;LQuotes&amp;Rn=10 working sample · R01 primary · R02–R10 secondary</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E5C3A"/>
    <pageSetUpPr fitToPage="1"/>
  </sheetPr>
  <dimension ref="A2:K38"/>
  <sheetViews>
    <sheetView showGridLines="0" topLeftCell="A25" workbookViewId="0">
      <selection activeCell="G57" sqref="G57"/>
    </sheetView>
  </sheetViews>
  <sheetFormatPr defaultColWidth="9" defaultRowHeight="14"/>
  <cols>
    <col min="1" max="1" width="22" style="6" customWidth="1"/>
    <col min="2" max="2" width="8" style="6" customWidth="1"/>
    <col min="3" max="3" width="10.7272727272727" style="6" customWidth="1"/>
    <col min="4" max="4" width="12.3636363636364" style="6" customWidth="1"/>
    <col min="5" max="7" width="8" style="6" customWidth="1"/>
    <col min="8" max="8" width="10.9090909090909" style="6" customWidth="1"/>
    <col min="9" max="11" width="8" style="6" customWidth="1"/>
    <col min="12" max="12" width="14" style="6" customWidth="1"/>
    <col min="13" max="16384" width="9" style="6"/>
  </cols>
  <sheetData>
    <row r="2" ht="39" spans="1:11">
      <c r="A2" s="11" t="s">
        <v>189</v>
      </c>
      <c r="B2" s="11" t="s">
        <v>202</v>
      </c>
      <c r="C2" s="11" t="s">
        <v>203</v>
      </c>
      <c r="D2" s="11" t="s">
        <v>204</v>
      </c>
      <c r="E2" s="11" t="s">
        <v>205</v>
      </c>
      <c r="F2" s="11" t="s">
        <v>206</v>
      </c>
      <c r="G2" s="11" t="s">
        <v>207</v>
      </c>
      <c r="H2" s="11" t="s">
        <v>208</v>
      </c>
      <c r="I2" s="11" t="s">
        <v>209</v>
      </c>
      <c r="J2" s="11" t="s">
        <v>210</v>
      </c>
      <c r="K2" s="11" t="s">
        <v>211</v>
      </c>
    </row>
    <row r="3" spans="1:11">
      <c r="A3" s="33" t="s">
        <v>45</v>
      </c>
      <c r="B3" s="34">
        <v>1</v>
      </c>
      <c r="C3" s="35" t="s">
        <v>212</v>
      </c>
      <c r="D3" s="34">
        <v>1</v>
      </c>
      <c r="E3" s="35" t="s">
        <v>212</v>
      </c>
      <c r="F3" s="35" t="s">
        <v>212</v>
      </c>
      <c r="G3" s="35" t="s">
        <v>212</v>
      </c>
      <c r="H3" s="35" t="s">
        <v>212</v>
      </c>
      <c r="I3" s="34">
        <v>1</v>
      </c>
      <c r="J3" s="34">
        <v>1</v>
      </c>
      <c r="K3" s="36">
        <v>4</v>
      </c>
    </row>
    <row r="4" spans="1:11">
      <c r="A4" s="37" t="s">
        <v>64</v>
      </c>
      <c r="B4" s="38">
        <v>1</v>
      </c>
      <c r="C4" s="39" t="s">
        <v>212</v>
      </c>
      <c r="D4" s="39" t="s">
        <v>212</v>
      </c>
      <c r="E4" s="38">
        <v>1</v>
      </c>
      <c r="F4" s="38">
        <v>1</v>
      </c>
      <c r="G4" s="39" t="s">
        <v>212</v>
      </c>
      <c r="H4" s="39" t="s">
        <v>212</v>
      </c>
      <c r="I4" s="39" t="s">
        <v>212</v>
      </c>
      <c r="J4" s="39" t="s">
        <v>212</v>
      </c>
      <c r="K4" s="40">
        <v>3</v>
      </c>
    </row>
    <row r="5" spans="1:11">
      <c r="A5" s="41" t="s">
        <v>81</v>
      </c>
      <c r="B5" s="42">
        <v>1</v>
      </c>
      <c r="C5" s="23" t="s">
        <v>212</v>
      </c>
      <c r="D5" s="23" t="s">
        <v>212</v>
      </c>
      <c r="E5" s="42">
        <v>1</v>
      </c>
      <c r="F5" s="23" t="s">
        <v>212</v>
      </c>
      <c r="G5" s="42">
        <v>1</v>
      </c>
      <c r="H5" s="23" t="s">
        <v>212</v>
      </c>
      <c r="I5" s="23" t="s">
        <v>212</v>
      </c>
      <c r="J5" s="23" t="s">
        <v>212</v>
      </c>
      <c r="K5" s="13">
        <v>3</v>
      </c>
    </row>
    <row r="6" spans="1:11">
      <c r="A6" s="37" t="s">
        <v>96</v>
      </c>
      <c r="B6" s="38">
        <v>1</v>
      </c>
      <c r="C6" s="38">
        <v>1</v>
      </c>
      <c r="D6" s="39" t="s">
        <v>212</v>
      </c>
      <c r="E6" s="39" t="s">
        <v>212</v>
      </c>
      <c r="F6" s="39" t="s">
        <v>212</v>
      </c>
      <c r="G6" s="39" t="s">
        <v>212</v>
      </c>
      <c r="H6" s="39" t="s">
        <v>212</v>
      </c>
      <c r="I6" s="38">
        <v>1</v>
      </c>
      <c r="J6" s="39" t="s">
        <v>212</v>
      </c>
      <c r="K6" s="40">
        <v>3</v>
      </c>
    </row>
    <row r="7" spans="1:11">
      <c r="A7" s="41" t="s">
        <v>110</v>
      </c>
      <c r="B7" s="42">
        <v>1</v>
      </c>
      <c r="C7" s="42">
        <v>1</v>
      </c>
      <c r="D7" s="23" t="s">
        <v>212</v>
      </c>
      <c r="E7" s="42">
        <v>1</v>
      </c>
      <c r="F7" s="23" t="s">
        <v>212</v>
      </c>
      <c r="G7" s="23" t="s">
        <v>212</v>
      </c>
      <c r="H7" s="23" t="s">
        <v>212</v>
      </c>
      <c r="I7" s="23" t="s">
        <v>212</v>
      </c>
      <c r="J7" s="23" t="s">
        <v>212</v>
      </c>
      <c r="K7" s="13">
        <v>3</v>
      </c>
    </row>
    <row r="8" spans="1:11">
      <c r="A8" s="37" t="s">
        <v>124</v>
      </c>
      <c r="B8" s="38">
        <v>1</v>
      </c>
      <c r="C8" s="38">
        <v>1</v>
      </c>
      <c r="D8" s="39" t="s">
        <v>212</v>
      </c>
      <c r="E8" s="39" t="s">
        <v>212</v>
      </c>
      <c r="F8" s="38">
        <v>1</v>
      </c>
      <c r="G8" s="39" t="s">
        <v>212</v>
      </c>
      <c r="H8" s="39" t="s">
        <v>212</v>
      </c>
      <c r="I8" s="39" t="s">
        <v>212</v>
      </c>
      <c r="J8" s="39" t="s">
        <v>212</v>
      </c>
      <c r="K8" s="40">
        <v>3</v>
      </c>
    </row>
    <row r="9" spans="1:11">
      <c r="A9" s="41" t="s">
        <v>137</v>
      </c>
      <c r="B9" s="23" t="s">
        <v>212</v>
      </c>
      <c r="C9" s="42">
        <v>1</v>
      </c>
      <c r="D9" s="23" t="s">
        <v>212</v>
      </c>
      <c r="E9" s="42">
        <v>1</v>
      </c>
      <c r="F9" s="23" t="s">
        <v>212</v>
      </c>
      <c r="G9" s="23" t="s">
        <v>212</v>
      </c>
      <c r="H9" s="42">
        <v>1</v>
      </c>
      <c r="I9" s="42">
        <v>1</v>
      </c>
      <c r="J9" s="23" t="s">
        <v>212</v>
      </c>
      <c r="K9" s="13">
        <v>4</v>
      </c>
    </row>
    <row r="10" spans="1:11">
      <c r="A10" s="37" t="s">
        <v>151</v>
      </c>
      <c r="B10" s="38">
        <v>1</v>
      </c>
      <c r="C10" s="39" t="s">
        <v>212</v>
      </c>
      <c r="D10" s="39" t="s">
        <v>212</v>
      </c>
      <c r="E10" s="39" t="s">
        <v>212</v>
      </c>
      <c r="F10" s="39" t="s">
        <v>212</v>
      </c>
      <c r="G10" s="39" t="s">
        <v>212</v>
      </c>
      <c r="H10" s="38">
        <v>1</v>
      </c>
      <c r="I10" s="39" t="s">
        <v>212</v>
      </c>
      <c r="J10" s="39" t="s">
        <v>212</v>
      </c>
      <c r="K10" s="40">
        <v>2</v>
      </c>
    </row>
    <row r="11" spans="1:11">
      <c r="A11" s="41" t="s">
        <v>166</v>
      </c>
      <c r="B11" s="42">
        <v>1</v>
      </c>
      <c r="C11" s="23" t="s">
        <v>212</v>
      </c>
      <c r="D11" s="23" t="s">
        <v>212</v>
      </c>
      <c r="E11" s="42">
        <v>1</v>
      </c>
      <c r="F11" s="23" t="s">
        <v>212</v>
      </c>
      <c r="G11" s="23" t="s">
        <v>212</v>
      </c>
      <c r="H11" s="23" t="s">
        <v>212</v>
      </c>
      <c r="I11" s="23" t="s">
        <v>212</v>
      </c>
      <c r="J11" s="23" t="s">
        <v>212</v>
      </c>
      <c r="K11" s="13">
        <v>2</v>
      </c>
    </row>
    <row r="12" spans="1:11">
      <c r="A12" s="37" t="s">
        <v>178</v>
      </c>
      <c r="B12" s="38">
        <v>1</v>
      </c>
      <c r="C12" s="39" t="s">
        <v>212</v>
      </c>
      <c r="D12" s="39" t="s">
        <v>212</v>
      </c>
      <c r="E12" s="38">
        <v>1</v>
      </c>
      <c r="F12" s="39" t="s">
        <v>212</v>
      </c>
      <c r="G12" s="38">
        <v>1</v>
      </c>
      <c r="H12" s="39" t="s">
        <v>212</v>
      </c>
      <c r="I12" s="39" t="s">
        <v>212</v>
      </c>
      <c r="J12" s="39" t="s">
        <v>212</v>
      </c>
      <c r="K12" s="40">
        <v>3</v>
      </c>
    </row>
    <row r="13" spans="1:11">
      <c r="A13" s="43" t="s">
        <v>213</v>
      </c>
      <c r="B13" s="44">
        <f t="shared" ref="B13:J13" si="0">COUNTA(B3:B12)</f>
        <v>10</v>
      </c>
      <c r="C13" s="44">
        <f t="shared" si="0"/>
        <v>10</v>
      </c>
      <c r="D13" s="44">
        <f t="shared" si="0"/>
        <v>10</v>
      </c>
      <c r="E13" s="44">
        <f t="shared" si="0"/>
        <v>10</v>
      </c>
      <c r="F13" s="44">
        <f t="shared" si="0"/>
        <v>10</v>
      </c>
      <c r="G13" s="44">
        <f t="shared" si="0"/>
        <v>10</v>
      </c>
      <c r="H13" s="44">
        <f t="shared" si="0"/>
        <v>10</v>
      </c>
      <c r="I13" s="44">
        <f t="shared" si="0"/>
        <v>10</v>
      </c>
      <c r="J13" s="44">
        <f t="shared" si="0"/>
        <v>10</v>
      </c>
      <c r="K13" s="44">
        <f>SUM(K3:K12)</f>
        <v>30</v>
      </c>
    </row>
    <row r="15" ht="28" spans="1:11">
      <c r="A15" s="45" t="s">
        <v>214</v>
      </c>
      <c r="D15" s="45" t="s">
        <v>215</v>
      </c>
      <c r="H15" s="45" t="s">
        <v>43</v>
      </c>
    </row>
    <row r="16" spans="1:11">
      <c r="A16" s="46"/>
      <c r="B16" s="11" t="s">
        <v>216</v>
      </c>
      <c r="C16" s="4"/>
    </row>
    <row r="17" ht="34.5" spans="1:10">
      <c r="A17" s="12" t="s">
        <v>217</v>
      </c>
      <c r="B17" s="13">
        <v>5</v>
      </c>
      <c r="D17" s="12" t="s">
        <v>75</v>
      </c>
      <c r="E17" s="13">
        <v>6</v>
      </c>
      <c r="F17" s="47" t="s">
        <v>218</v>
      </c>
      <c r="H17" s="48" t="s">
        <v>62</v>
      </c>
      <c r="I17" s="49">
        <v>4</v>
      </c>
      <c r="J17" s="50" t="s">
        <v>219</v>
      </c>
    </row>
    <row r="18" ht="34.5" spans="1:10">
      <c r="A18" s="51" t="s">
        <v>220</v>
      </c>
      <c r="B18" s="40">
        <v>5</v>
      </c>
      <c r="D18" s="12" t="s">
        <v>57</v>
      </c>
      <c r="E18" s="13">
        <v>1</v>
      </c>
      <c r="F18" s="47" t="s">
        <v>45</v>
      </c>
      <c r="H18" s="24" t="s">
        <v>79</v>
      </c>
      <c r="I18" s="36">
        <v>6</v>
      </c>
      <c r="J18" s="52" t="s">
        <v>218</v>
      </c>
    </row>
    <row r="19" ht="37.5" spans="1:10">
      <c r="A19" s="12" t="s">
        <v>221</v>
      </c>
      <c r="B19" s="13">
        <v>4</v>
      </c>
      <c r="D19" s="12" t="s">
        <v>105</v>
      </c>
      <c r="E19" s="13">
        <v>1</v>
      </c>
      <c r="F19" s="47" t="s">
        <v>96</v>
      </c>
    </row>
    <row r="20" spans="1:10">
      <c r="A20" s="51" t="s">
        <v>222</v>
      </c>
      <c r="B20" s="40">
        <v>2</v>
      </c>
      <c r="D20" s="12" t="s">
        <v>65</v>
      </c>
      <c r="E20" s="13">
        <v>1</v>
      </c>
      <c r="F20" s="47" t="s">
        <v>137</v>
      </c>
    </row>
    <row r="21" ht="25" spans="1:10">
      <c r="A21" s="12" t="s">
        <v>223</v>
      </c>
      <c r="B21" s="13">
        <v>2</v>
      </c>
      <c r="D21" s="12" t="s">
        <v>161</v>
      </c>
      <c r="E21" s="13">
        <v>1</v>
      </c>
      <c r="F21" s="47" t="s">
        <v>151</v>
      </c>
    </row>
    <row r="22" spans="1:10">
      <c r="A22" s="51" t="s">
        <v>224</v>
      </c>
      <c r="B22" s="40">
        <v>2</v>
      </c>
    </row>
    <row r="23" spans="1:10">
      <c r="A23" s="12" t="s">
        <v>225</v>
      </c>
      <c r="B23" s="13">
        <v>2</v>
      </c>
    </row>
    <row r="24" spans="1:10">
      <c r="A24" s="51" t="s">
        <v>226</v>
      </c>
      <c r="B24" s="40">
        <v>2</v>
      </c>
    </row>
    <row r="25" spans="1:10">
      <c r="A25" s="12" t="s">
        <v>227</v>
      </c>
      <c r="B25" s="13">
        <v>1</v>
      </c>
    </row>
    <row r="26" spans="1:10">
      <c r="A26" s="51" t="s">
        <v>228</v>
      </c>
      <c r="B26" s="40">
        <v>1</v>
      </c>
    </row>
    <row r="27" spans="1:10">
      <c r="A27" s="12" t="s">
        <v>229</v>
      </c>
      <c r="B27" s="13">
        <v>1</v>
      </c>
    </row>
    <row r="28" spans="1:10">
      <c r="A28" s="51" t="s">
        <v>230</v>
      </c>
      <c r="B28" s="40">
        <v>1</v>
      </c>
    </row>
    <row r="29" spans="1:10">
      <c r="A29" s="12" t="s">
        <v>231</v>
      </c>
      <c r="B29" s="13">
        <v>1</v>
      </c>
    </row>
    <row r="30" spans="1:10">
      <c r="A30" s="51" t="s">
        <v>232</v>
      </c>
      <c r="B30" s="40">
        <v>1</v>
      </c>
    </row>
    <row r="31" spans="1:10">
      <c r="A31" s="12" t="s">
        <v>233</v>
      </c>
      <c r="B31" s="13">
        <v>1</v>
      </c>
    </row>
    <row r="32" spans="1:10">
      <c r="A32" s="51" t="s">
        <v>234</v>
      </c>
      <c r="B32" s="40">
        <v>1</v>
      </c>
    </row>
    <row r="33" spans="1:2">
      <c r="A33" s="12" t="s">
        <v>235</v>
      </c>
      <c r="B33" s="13">
        <v>1</v>
      </c>
    </row>
    <row r="34" spans="1:2">
      <c r="A34" s="51" t="s">
        <v>236</v>
      </c>
      <c r="B34" s="40">
        <v>1</v>
      </c>
    </row>
    <row r="35" spans="1:2">
      <c r="A35" s="12" t="s">
        <v>237</v>
      </c>
      <c r="B35" s="13">
        <v>1</v>
      </c>
    </row>
    <row r="36" spans="1:2">
      <c r="A36" s="51" t="s">
        <v>238</v>
      </c>
      <c r="B36" s="40">
        <v>1</v>
      </c>
    </row>
    <row r="37" spans="1:2">
      <c r="A37" s="12" t="s">
        <v>239</v>
      </c>
      <c r="B37" s="13">
        <v>1</v>
      </c>
    </row>
    <row r="38" spans="1:2">
      <c r="A38" s="51" t="s">
        <v>240</v>
      </c>
      <c r="B38" s="40">
        <v>1</v>
      </c>
    </row>
  </sheetData>
  <pageMargins left="0.4" right="0.4" top="0.5" bottom="0.5" header="0.5" footer="0.5"/>
  <pageSetup paperSize="3" fitToHeight="0" orientation="landscape"/>
  <headerFooter>
    <oddHeader>&amp;LMatcha Field Notes</oddHeader>
    <oddFooter>&amp;LCoding&amp;Rn=10 working sample · R01 primary · R02–R10 secondary</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E5C3A"/>
    <pageSetUpPr fitToPage="1"/>
  </sheetPr>
  <dimension ref="A1:H36"/>
  <sheetViews>
    <sheetView showGridLines="0" topLeftCell="A15" workbookViewId="0">
      <selection activeCell="E43" sqref="E43"/>
    </sheetView>
  </sheetViews>
  <sheetFormatPr defaultColWidth="9" defaultRowHeight="14" outlineLevelCol="7"/>
  <cols>
    <col min="1" max="1" width="28" style="6" customWidth="1"/>
    <col min="2" max="2" width="12" style="6" customWidth="1"/>
    <col min="3" max="3" width="18" style="6" customWidth="1"/>
    <col min="4" max="6" width="14" style="6" customWidth="1"/>
    <col min="7" max="7" width="18" style="6" customWidth="1"/>
    <col min="8" max="9" width="16" style="6" customWidth="1"/>
    <col min="10" max="16384" width="9" style="6"/>
  </cols>
  <sheetData>
    <row r="1" ht="46.5" spans="1:8">
      <c r="A1" s="10" t="s">
        <v>241</v>
      </c>
      <c r="B1" s="6"/>
      <c r="C1" s="6"/>
      <c r="D1" s="10" t="s">
        <v>242</v>
      </c>
      <c r="E1" s="6"/>
      <c r="F1" s="6"/>
      <c r="G1" s="10" t="s">
        <v>243</v>
      </c>
    </row>
    <row r="2" spans="1:8">
      <c r="A2" s="11" t="s">
        <v>244</v>
      </c>
      <c r="B2" s="11" t="s">
        <v>216</v>
      </c>
    </row>
    <row r="3" ht="25" spans="1:8">
      <c r="A3" s="12" t="s">
        <v>202</v>
      </c>
      <c r="B3" s="13">
        <v>9</v>
      </c>
      <c r="C3" s="6"/>
      <c r="D3" s="12" t="s">
        <v>112</v>
      </c>
      <c r="E3" s="13">
        <v>4</v>
      </c>
      <c r="F3" s="6"/>
      <c r="G3" s="12" t="s">
        <v>245</v>
      </c>
      <c r="H3" s="13">
        <v>3</v>
      </c>
    </row>
    <row r="4" ht="25" spans="1:8">
      <c r="A4" s="12" t="s">
        <v>203</v>
      </c>
      <c r="B4" s="13">
        <v>6</v>
      </c>
      <c r="C4" s="6"/>
      <c r="D4" s="12" t="s">
        <v>246</v>
      </c>
      <c r="E4" s="13">
        <v>2</v>
      </c>
      <c r="F4" s="6"/>
      <c r="G4" s="12" t="s">
        <v>247</v>
      </c>
      <c r="H4" s="13">
        <v>2</v>
      </c>
    </row>
    <row r="5" ht="25" spans="1:8">
      <c r="A5" s="12" t="s">
        <v>205</v>
      </c>
      <c r="B5" s="13">
        <v>6</v>
      </c>
      <c r="C5" s="6"/>
      <c r="D5" s="12" t="s">
        <v>49</v>
      </c>
      <c r="E5" s="13">
        <v>3</v>
      </c>
      <c r="F5" s="6"/>
      <c r="G5" s="12" t="s">
        <v>248</v>
      </c>
      <c r="H5" s="13">
        <v>2</v>
      </c>
    </row>
    <row r="6" ht="25" spans="1:8">
      <c r="A6" s="12" t="s">
        <v>206</v>
      </c>
      <c r="B6" s="13">
        <v>2</v>
      </c>
      <c r="C6" s="6"/>
      <c r="D6" s="12" t="s">
        <v>153</v>
      </c>
      <c r="E6" s="13">
        <v>1</v>
      </c>
      <c r="F6" s="6"/>
      <c r="G6" s="12" t="s">
        <v>249</v>
      </c>
      <c r="H6" s="13">
        <v>2</v>
      </c>
    </row>
    <row r="7" ht="37.5" spans="1:8">
      <c r="A7" s="12" t="s">
        <v>207</v>
      </c>
      <c r="B7" s="13">
        <v>2</v>
      </c>
      <c r="C7" s="6"/>
      <c r="D7" s="6"/>
      <c r="E7" s="6"/>
      <c r="F7" s="6"/>
      <c r="G7" s="12" t="s">
        <v>250</v>
      </c>
      <c r="H7" s="13">
        <v>1</v>
      </c>
    </row>
    <row r="8" ht="25" spans="1:8">
      <c r="A8" s="12" t="s">
        <v>209</v>
      </c>
      <c r="B8" s="13">
        <v>3</v>
      </c>
      <c r="C8" s="6"/>
      <c r="D8" s="6"/>
      <c r="E8" s="6"/>
      <c r="F8" s="6"/>
      <c r="G8" s="12" t="s">
        <v>251</v>
      </c>
      <c r="H8" s="13">
        <v>1</v>
      </c>
    </row>
    <row r="9" spans="1:8">
      <c r="A9" s="12" t="s">
        <v>208</v>
      </c>
      <c r="B9" s="13">
        <v>2</v>
      </c>
    </row>
    <row r="12" ht="46.5" spans="1:8">
      <c r="A12" s="10" t="s">
        <v>252</v>
      </c>
      <c r="B12" s="6"/>
      <c r="C12" s="6"/>
      <c r="D12" s="6"/>
      <c r="E12" s="10" t="s">
        <v>253</v>
      </c>
    </row>
    <row r="13" spans="1:8">
      <c r="A13" s="11" t="s">
        <v>254</v>
      </c>
      <c r="B13" s="11" t="s">
        <v>216</v>
      </c>
      <c r="C13" s="11" t="s">
        <v>255</v>
      </c>
    </row>
    <row r="14" spans="1:8">
      <c r="A14" s="12" t="s">
        <v>256</v>
      </c>
      <c r="B14" s="13">
        <v>1</v>
      </c>
      <c r="C14" s="14" t="s">
        <v>124</v>
      </c>
      <c r="D14" s="6"/>
      <c r="E14" s="12" t="s">
        <v>257</v>
      </c>
      <c r="F14" s="13">
        <v>0</v>
      </c>
      <c r="G14" s="14" t="s">
        <v>59</v>
      </c>
    </row>
    <row r="15" ht="23" spans="1:8">
      <c r="A15" s="12" t="s">
        <v>258</v>
      </c>
      <c r="B15" s="13">
        <v>2</v>
      </c>
      <c r="C15" s="14" t="s">
        <v>259</v>
      </c>
      <c r="D15" s="6"/>
      <c r="E15" s="12" t="s">
        <v>260</v>
      </c>
      <c r="F15" s="13">
        <v>4</v>
      </c>
      <c r="G15" s="14" t="s">
        <v>261</v>
      </c>
    </row>
    <row r="16" ht="23" spans="1:8">
      <c r="A16" s="12" t="s">
        <v>262</v>
      </c>
      <c r="B16" s="13">
        <v>6</v>
      </c>
      <c r="C16" s="14" t="s">
        <v>263</v>
      </c>
      <c r="D16" s="6"/>
      <c r="E16" s="12" t="s">
        <v>264</v>
      </c>
      <c r="F16" s="13">
        <v>5</v>
      </c>
      <c r="G16" s="14" t="s">
        <v>265</v>
      </c>
    </row>
    <row r="17" spans="1:8">
      <c r="A17" s="12" t="s">
        <v>266</v>
      </c>
      <c r="B17" s="13">
        <v>0</v>
      </c>
      <c r="C17" s="14" t="s">
        <v>59</v>
      </c>
      <c r="D17" s="6"/>
      <c r="E17" s="12" t="s">
        <v>267</v>
      </c>
      <c r="F17" s="13">
        <v>1</v>
      </c>
      <c r="G17" s="14" t="s">
        <v>178</v>
      </c>
    </row>
    <row r="18" spans="1:8">
      <c r="A18" s="12" t="s">
        <v>268</v>
      </c>
      <c r="B18" s="13">
        <v>1</v>
      </c>
      <c r="C18" s="14" t="s">
        <v>178</v>
      </c>
      <c r="D18" s="6"/>
      <c r="E18" s="12" t="s">
        <v>269</v>
      </c>
      <c r="F18" s="13">
        <v>0</v>
      </c>
      <c r="G18" s="14" t="s">
        <v>59</v>
      </c>
    </row>
    <row r="20" ht="28" spans="1:8">
      <c r="A20" s="15" t="s">
        <v>270</v>
      </c>
      <c r="B20" s="16">
        <v>26.5</v>
      </c>
      <c r="C20" s="6"/>
      <c r="D20" s="6"/>
      <c r="E20" s="17" t="s">
        <v>271</v>
      </c>
      <c r="F20" s="18">
        <v>7.125</v>
      </c>
    </row>
    <row r="21" ht="28" spans="1:8">
      <c r="A21" s="19" t="s">
        <v>272</v>
      </c>
      <c r="B21" s="20">
        <v>0.88</v>
      </c>
      <c r="C21" s="6"/>
      <c r="D21" s="6"/>
      <c r="E21" s="21" t="s">
        <v>273</v>
      </c>
      <c r="F21" s="22">
        <v>9</v>
      </c>
    </row>
    <row r="22" spans="1:8">
      <c r="A22" s="12" t="s">
        <v>274</v>
      </c>
      <c r="B22" s="23" t="s">
        <v>275</v>
      </c>
      <c r="C22" s="6"/>
      <c r="D22" s="6"/>
      <c r="E22" s="24" t="s">
        <v>276</v>
      </c>
      <c r="F22" s="25" t="s">
        <v>48</v>
      </c>
    </row>
    <row r="25" ht="31" spans="1:8">
      <c r="A25" s="10" t="s">
        <v>277</v>
      </c>
    </row>
    <row r="26" ht="26" spans="1:8">
      <c r="A26" s="11" t="s">
        <v>189</v>
      </c>
      <c r="B26" s="11" t="s">
        <v>278</v>
      </c>
      <c r="C26" s="11" t="s">
        <v>43</v>
      </c>
      <c r="D26" s="11" t="s">
        <v>279</v>
      </c>
      <c r="E26" s="11" t="s">
        <v>280</v>
      </c>
      <c r="F26" s="11" t="s">
        <v>281</v>
      </c>
      <c r="G26" s="11" t="s">
        <v>282</v>
      </c>
      <c r="H26" s="11" t="s">
        <v>283</v>
      </c>
    </row>
    <row r="27" spans="1:8">
      <c r="A27" s="25" t="s">
        <v>45</v>
      </c>
      <c r="B27" s="25" t="s">
        <v>284</v>
      </c>
      <c r="C27" s="26" t="s">
        <v>62</v>
      </c>
      <c r="D27" s="27">
        <v>30</v>
      </c>
      <c r="E27" s="27">
        <v>1</v>
      </c>
      <c r="F27" s="27">
        <v>7.5</v>
      </c>
      <c r="G27" s="25" t="s">
        <v>59</v>
      </c>
      <c r="H27" s="25" t="s">
        <v>285</v>
      </c>
    </row>
    <row r="28" spans="1:8">
      <c r="A28" s="28" t="s">
        <v>64</v>
      </c>
      <c r="B28" s="28" t="s">
        <v>286</v>
      </c>
      <c r="C28" s="29" t="s">
        <v>79</v>
      </c>
      <c r="D28" s="30">
        <v>28</v>
      </c>
      <c r="E28" s="30">
        <v>0.93</v>
      </c>
      <c r="F28" s="30">
        <v>7.25</v>
      </c>
      <c r="G28" s="30">
        <v>9</v>
      </c>
      <c r="H28" s="28" t="s">
        <v>287</v>
      </c>
    </row>
    <row r="29" spans="1:8">
      <c r="A29" s="31" t="s">
        <v>81</v>
      </c>
      <c r="B29" s="31" t="s">
        <v>284</v>
      </c>
      <c r="C29" s="14" t="s">
        <v>79</v>
      </c>
      <c r="D29" s="32">
        <v>24</v>
      </c>
      <c r="E29" s="32">
        <v>0.8</v>
      </c>
      <c r="F29" s="32">
        <v>6.5</v>
      </c>
      <c r="G29" s="32">
        <v>10</v>
      </c>
      <c r="H29" s="31" t="s">
        <v>287</v>
      </c>
    </row>
    <row r="30" spans="1:8">
      <c r="A30" s="28" t="s">
        <v>96</v>
      </c>
      <c r="B30" s="28" t="s">
        <v>286</v>
      </c>
      <c r="C30" s="29" t="s">
        <v>62</v>
      </c>
      <c r="D30" s="30">
        <v>25</v>
      </c>
      <c r="E30" s="30">
        <v>0.83</v>
      </c>
      <c r="F30" s="30">
        <v>7.5</v>
      </c>
      <c r="G30" s="30">
        <v>10</v>
      </c>
      <c r="H30" s="28" t="s">
        <v>287</v>
      </c>
    </row>
    <row r="31" spans="1:8">
      <c r="A31" s="31" t="s">
        <v>110</v>
      </c>
      <c r="B31" s="31" t="s">
        <v>284</v>
      </c>
      <c r="C31" s="14" t="s">
        <v>79</v>
      </c>
      <c r="D31" s="32">
        <v>30</v>
      </c>
      <c r="E31" s="32">
        <v>1</v>
      </c>
      <c r="F31" s="32">
        <v>7</v>
      </c>
      <c r="G31" s="32">
        <v>9</v>
      </c>
      <c r="H31" s="31" t="s">
        <v>287</v>
      </c>
    </row>
    <row r="32" spans="1:8">
      <c r="A32" s="28" t="s">
        <v>124</v>
      </c>
      <c r="B32" s="28" t="s">
        <v>286</v>
      </c>
      <c r="C32" s="29" t="s">
        <v>79</v>
      </c>
      <c r="D32" s="30">
        <v>19</v>
      </c>
      <c r="E32" s="30">
        <v>0.63</v>
      </c>
      <c r="F32" s="30">
        <v>6.25</v>
      </c>
      <c r="G32" s="30">
        <v>8</v>
      </c>
      <c r="H32" s="28" t="s">
        <v>287</v>
      </c>
    </row>
    <row r="33" spans="1:8">
      <c r="A33" s="31" t="s">
        <v>137</v>
      </c>
      <c r="B33" s="31" t="s">
        <v>284</v>
      </c>
      <c r="C33" s="14" t="s">
        <v>62</v>
      </c>
      <c r="D33" s="32">
        <v>28</v>
      </c>
      <c r="E33" s="32">
        <v>0.93</v>
      </c>
      <c r="F33" s="32">
        <v>7.5</v>
      </c>
      <c r="G33" s="32">
        <v>9</v>
      </c>
      <c r="H33" s="31" t="s">
        <v>287</v>
      </c>
    </row>
    <row r="34" spans="1:8">
      <c r="A34" s="28" t="s">
        <v>151</v>
      </c>
      <c r="B34" s="28" t="s">
        <v>286</v>
      </c>
      <c r="C34" s="29" t="s">
        <v>62</v>
      </c>
      <c r="D34" s="30">
        <v>22</v>
      </c>
      <c r="E34" s="30">
        <v>0.73</v>
      </c>
      <c r="F34" s="30">
        <v>6.5</v>
      </c>
      <c r="G34" s="30">
        <v>8.5</v>
      </c>
      <c r="H34" s="28" t="s">
        <v>287</v>
      </c>
    </row>
    <row r="35" spans="1:8">
      <c r="A35" s="31" t="s">
        <v>166</v>
      </c>
      <c r="B35" s="31" t="s">
        <v>284</v>
      </c>
      <c r="C35" s="14" t="s">
        <v>79</v>
      </c>
      <c r="D35" s="32">
        <v>25</v>
      </c>
      <c r="E35" s="32">
        <v>0.83</v>
      </c>
      <c r="F35" s="32">
        <v>6</v>
      </c>
      <c r="G35" s="32">
        <v>8</v>
      </c>
      <c r="H35" s="31" t="s">
        <v>287</v>
      </c>
    </row>
    <row r="36" spans="1:8">
      <c r="A36" s="28" t="s">
        <v>178</v>
      </c>
      <c r="B36" s="28" t="s">
        <v>286</v>
      </c>
      <c r="C36" s="29" t="s">
        <v>79</v>
      </c>
      <c r="D36" s="30">
        <v>38</v>
      </c>
      <c r="E36" s="30">
        <v>1.27</v>
      </c>
      <c r="F36" s="30">
        <v>8.5</v>
      </c>
      <c r="G36" s="30">
        <v>12</v>
      </c>
      <c r="H36" s="28" t="s">
        <v>287</v>
      </c>
    </row>
  </sheetData>
  <pageMargins left="0.4" right="0.4" top="0.5" bottom="0.5" header="0.5" footer="0.5"/>
  <pageSetup paperSize="3" fitToHeight="0" orientation="landscape"/>
  <headerFooter>
    <oddHeader>&amp;LMatcha Field Notes</oddHeader>
    <oddFooter>&amp;LCounts&amp;Rn=10 working sample · R01 primary · R02–R10 secondary</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E5C3A"/>
    <pageSetUpPr fitToPage="1"/>
  </sheetPr>
  <dimension ref="A1"/>
  <sheetViews>
    <sheetView showGridLines="0" workbookViewId="0">
      <selection activeCell="I13" sqref="I13"/>
    </sheetView>
  </sheetViews>
  <sheetFormatPr defaultColWidth="9" defaultRowHeight="14"/>
  <cols>
    <col min="1" max="10" width="18" style="6" customWidth="1"/>
    <col min="11" max="16384" width="9" style="6"/>
  </cols>
  <sheetData/>
  <pageMargins left="0.4" right="0.4" top="0.5" bottom="0.5" header="0.5" footer="0.5"/>
  <pageSetup paperSize="3" fitToHeight="0" orientation="landscape"/>
  <headerFooter>
    <oddHeader>&amp;LMatcha Field Notes</oddHeader>
    <oddFooter>&amp;LCharts&amp;Rn=10 working sample · R01 primary · R02–R10 secondary</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E5C3A"/>
    <pageSetUpPr fitToPage="1"/>
  </sheetPr>
  <dimension ref="A1:D8"/>
  <sheetViews>
    <sheetView showGridLines="0" tabSelected="1" workbookViewId="0">
      <selection activeCell="D8" sqref="D8"/>
    </sheetView>
  </sheetViews>
  <sheetFormatPr defaultColWidth="9" defaultRowHeight="14" outlineLevelRow="7" outlineLevelCol="3"/>
  <cols>
    <col min="1" max="1" width="14" customWidth="1"/>
    <col min="2" max="3" width="42" customWidth="1"/>
    <col min="4" max="4" width="28" customWidth="1"/>
  </cols>
  <sheetData>
    <row r="1" spans="1:4">
      <c r="A1" s="1" t="s">
        <v>189</v>
      </c>
      <c r="B1" s="1" t="s">
        <v>288</v>
      </c>
      <c r="C1" s="1" t="s">
        <v>289</v>
      </c>
      <c r="D1" s="1" t="s">
        <v>290</v>
      </c>
    </row>
    <row r="2" ht="64" customHeight="1" spans="1:4">
      <c r="A2" s="8" t="s">
        <v>291</v>
      </c>
      <c r="B2" s="2" t="s">
        <v>292</v>
      </c>
      <c r="C2" s="2" t="s">
        <v>293</v>
      </c>
      <c r="D2" s="2" t="s">
        <v>294</v>
      </c>
    </row>
    <row r="3" ht="64" customHeight="1" spans="1:4">
      <c r="A3" s="9" t="s">
        <v>295</v>
      </c>
      <c r="B3" s="3" t="s">
        <v>296</v>
      </c>
      <c r="C3" s="3" t="s">
        <v>297</v>
      </c>
      <c r="D3" s="3" t="s">
        <v>298</v>
      </c>
    </row>
    <row r="4" ht="64" customHeight="1" spans="1:4">
      <c r="A4" s="8" t="s">
        <v>299</v>
      </c>
      <c r="B4" s="2" t="s">
        <v>300</v>
      </c>
      <c r="C4" s="2" t="s">
        <v>301</v>
      </c>
      <c r="D4" s="2" t="s">
        <v>302</v>
      </c>
    </row>
    <row r="5" ht="64" customHeight="1" spans="1:4">
      <c r="A5" s="9" t="s">
        <v>303</v>
      </c>
      <c r="B5" s="3" t="s">
        <v>304</v>
      </c>
      <c r="C5" s="3" t="s">
        <v>305</v>
      </c>
      <c r="D5" s="3" t="s">
        <v>306</v>
      </c>
    </row>
    <row r="6" ht="64" customHeight="1" spans="1:4">
      <c r="A6" s="8" t="s">
        <v>307</v>
      </c>
      <c r="B6" s="2" t="s">
        <v>308</v>
      </c>
      <c r="C6" s="2" t="s">
        <v>309</v>
      </c>
      <c r="D6" s="2" t="s">
        <v>310</v>
      </c>
    </row>
    <row r="7" ht="64" customHeight="1" spans="1:4">
      <c r="A7" s="9" t="s">
        <v>311</v>
      </c>
      <c r="B7" s="3" t="s">
        <v>312</v>
      </c>
      <c r="C7" s="3" t="s">
        <v>313</v>
      </c>
      <c r="D7" s="3" t="s">
        <v>314</v>
      </c>
    </row>
    <row r="8" ht="64" customHeight="1" spans="1:4">
      <c r="A8" s="8" t="s">
        <v>315</v>
      </c>
      <c r="B8" s="2" t="s">
        <v>316</v>
      </c>
      <c r="C8" s="2" t="s">
        <v>317</v>
      </c>
      <c r="D8" s="2" t="s">
        <v>318</v>
      </c>
    </row>
  </sheetData>
  <pageMargins left="0.4" right="0.4" top="0.5" bottom="0.5" header="0.5" footer="0.5"/>
  <pageSetup paperSize="3" fitToHeight="0" orientation="landscape"/>
  <headerFooter>
    <oddHeader>&amp;LMatcha Field Notes</oddHeader>
    <oddFooter>&amp;LFindings&amp;Rn=10 working sample · R01 primary · R02–R10 secondary</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E5C3A"/>
    <pageSetUpPr fitToPage="1"/>
  </sheetPr>
  <dimension ref="A1:D4"/>
  <sheetViews>
    <sheetView showGridLines="0" workbookViewId="0">
      <selection activeCell="C18" sqref="C18"/>
    </sheetView>
  </sheetViews>
  <sheetFormatPr defaultColWidth="9" defaultRowHeight="14" outlineLevelRow="3" outlineLevelCol="3"/>
  <cols>
    <col min="1" max="4" width="36" customWidth="1"/>
  </cols>
  <sheetData>
    <row r="1" spans="1:4">
      <c r="A1" s="1" t="s">
        <v>319</v>
      </c>
      <c r="B1" s="1" t="s">
        <v>320</v>
      </c>
      <c r="C1" s="1" t="s">
        <v>321</v>
      </c>
      <c r="D1" s="4"/>
    </row>
    <row r="2" ht="88" customHeight="1" spans="1:4">
      <c r="A2" s="1" t="s">
        <v>322</v>
      </c>
      <c r="B2" s="5" t="s">
        <v>323</v>
      </c>
      <c r="C2" s="5" t="s">
        <v>324</v>
      </c>
      <c r="D2" s="6"/>
    </row>
    <row r="3" ht="88" customHeight="1" spans="1:4">
      <c r="A3" s="1" t="s">
        <v>325</v>
      </c>
      <c r="B3" s="5" t="s">
        <v>326</v>
      </c>
      <c r="C3" s="5" t="s">
        <v>327</v>
      </c>
      <c r="D3" s="6"/>
    </row>
    <row r="4" ht="72" customHeight="1" spans="1:4">
      <c r="A4" s="7" t="s">
        <v>328</v>
      </c>
      <c r="B4" s="5" t="s">
        <v>329</v>
      </c>
      <c r="C4" s="5" t="s">
        <v>330</v>
      </c>
      <c r="D4" s="6"/>
    </row>
  </sheetData>
  <pageMargins left="0.4" right="0.4" top="0.5" bottom="0.5" header="0.5" footer="0.5"/>
  <pageSetup paperSize="3" fitToHeight="0" orientation="landscape"/>
  <headerFooter>
    <oddHeader>&amp;LMatcha Field Notes</oddHeader>
    <oddFooter>&amp;L2x2&amp;Rn=10 working sample · R01 primary · R02–R10 secondary</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3E5C3A"/>
    <pageSetUpPr fitToPage="1"/>
  </sheetPr>
  <dimension ref="A2:C10"/>
  <sheetViews>
    <sheetView showGridLines="0" workbookViewId="0">
      <selection activeCell="C13" sqref="C13"/>
    </sheetView>
  </sheetViews>
  <sheetFormatPr defaultColWidth="9" defaultRowHeight="14" outlineLevelCol="2"/>
  <cols>
    <col min="1" max="3" width="28" customWidth="1"/>
  </cols>
  <sheetData>
    <row r="2" ht="28" spans="1:3">
      <c r="A2" s="1" t="s">
        <v>331</v>
      </c>
      <c r="B2" s="1" t="s">
        <v>332</v>
      </c>
      <c r="C2" s="1" t="s">
        <v>333</v>
      </c>
    </row>
    <row r="3" ht="36" customHeight="1" spans="1:3">
      <c r="A3" s="2" t="s">
        <v>334</v>
      </c>
      <c r="B3" s="2" t="s">
        <v>335</v>
      </c>
      <c r="C3" s="2" t="s">
        <v>336</v>
      </c>
    </row>
    <row r="4" ht="36" customHeight="1" spans="1:3">
      <c r="A4" s="3" t="s">
        <v>337</v>
      </c>
      <c r="B4" s="3" t="s">
        <v>338</v>
      </c>
      <c r="C4" s="3" t="s">
        <v>339</v>
      </c>
    </row>
    <row r="5" ht="36" customHeight="1" spans="1:3">
      <c r="A5" s="2" t="s">
        <v>274</v>
      </c>
      <c r="B5" s="2" t="s">
        <v>340</v>
      </c>
      <c r="C5" s="2" t="s">
        <v>341</v>
      </c>
    </row>
    <row r="6" ht="36" customHeight="1" spans="1:3">
      <c r="A6" s="3" t="s">
        <v>342</v>
      </c>
      <c r="B6" s="3" t="s">
        <v>343</v>
      </c>
      <c r="C6" s="3" t="s">
        <v>59</v>
      </c>
    </row>
    <row r="7" ht="36" customHeight="1" spans="1:3">
      <c r="A7" s="2" t="s">
        <v>344</v>
      </c>
      <c r="B7" s="2" t="s">
        <v>345</v>
      </c>
      <c r="C7" s="2" t="s">
        <v>346</v>
      </c>
    </row>
    <row r="8" ht="36" customHeight="1" spans="1:3">
      <c r="A8" s="3" t="s">
        <v>347</v>
      </c>
      <c r="B8" s="3" t="s">
        <v>348</v>
      </c>
      <c r="C8" s="3" t="s">
        <v>345</v>
      </c>
    </row>
    <row r="9" ht="36" customHeight="1" spans="1:3">
      <c r="A9" s="2" t="s">
        <v>349</v>
      </c>
      <c r="B9" s="2" t="s">
        <v>350</v>
      </c>
      <c r="C9" s="2" t="s">
        <v>351</v>
      </c>
    </row>
    <row r="10" ht="36" customHeight="1" spans="1:3">
      <c r="A10" s="3" t="s">
        <v>352</v>
      </c>
      <c r="B10" s="3" t="s">
        <v>353</v>
      </c>
      <c r="C10" s="3" t="s">
        <v>354</v>
      </c>
    </row>
  </sheetData>
  <pageMargins left="0.4" right="0.4" top="0.5" bottom="0.5" header="0.5" footer="0.5"/>
  <pageSetup paperSize="3" fitToHeight="0" orientation="landscape"/>
  <headerFooter>
    <oddHeader>&amp;LMatcha Field Notes</oddHeader>
    <oddFooter>&amp;LPrice&amp;Rn=10 working sample · R01 primary · R02–R10 secondary</oddFooter>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01 Question guide</vt:lpstr>
      <vt:lpstr>02 Raw matrix</vt:lpstr>
      <vt:lpstr>03 Quotes</vt:lpstr>
      <vt:lpstr>04 Coding</vt:lpstr>
      <vt:lpstr>05 Counts</vt:lpstr>
      <vt:lpstr>06 Charts</vt:lpstr>
      <vt:lpstr>07 Findings</vt:lpstr>
      <vt:lpstr>08 2x2 map</vt:lpstr>
      <vt:lpstr>09 Price compare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Superleggera</cp:lastModifiedBy>
  <dcterms:created xsi:type="dcterms:W3CDTF">2026-09-28T04:48:00Z</dcterms:created>
  <dcterms:modified xsi:type="dcterms:W3CDTF">2026-09-28T06:36:49Z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71B38F986FD6448DB816E5C34C12427E_12</vt:lpwstr>
  </property>
  <property fmtid="{D5CDD505-2E9C-101B-9397-08002B2CF9AE}" pid="3" name="KSOProductBuildVer">
    <vt:lpwstr>2052-12.1.0.28505</vt:lpwstr>
  </property>
  <property fmtid="{D5CDD505-2E9C-101B-9397-08002B2CF9AE}" pid="4" name="CalculationRule">
    <vt:i4>0</vt:i4>
  </property>
</Properties>
</file>